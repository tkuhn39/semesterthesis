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GitHub-tkuhn39\semesterthesis\70_input\72_Kleingetriebepruefstand_KV3\"/>
    </mc:Choice>
  </mc:AlternateContent>
  <xr:revisionPtr revIDLastSave="0" documentId="13_ncr:1_{0AA3F3D2-2F77-4BAF-938D-4B350E82F015}" xr6:coauthVersionLast="47" xr6:coauthVersionMax="47" xr10:uidLastSave="{00000000-0000-0000-0000-000000000000}"/>
  <bookViews>
    <workbookView xWindow="-28920" yWindow="-120" windowWidth="29040" windowHeight="15720" xr2:uid="{09DE1DE6-8CB8-D84C-8367-607651AAD6B1}"/>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96" i="1" l="1"/>
  <c r="Q85" i="1"/>
  <c r="Q95" i="1"/>
  <c r="Q94" i="1"/>
  <c r="Q93" i="1"/>
  <c r="Q92" i="1"/>
  <c r="Q91" i="1"/>
  <c r="Q90" i="1"/>
  <c r="Q89" i="1"/>
  <c r="Q88" i="1"/>
  <c r="Q86" i="1"/>
  <c r="Q84"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alcChain>
</file>

<file path=xl/sharedStrings.xml><?xml version="1.0" encoding="utf-8"?>
<sst xmlns="http://schemas.openxmlformats.org/spreadsheetml/2006/main" count="580" uniqueCount="280">
  <si>
    <t>A</t>
  </si>
  <si>
    <t>Datum</t>
  </si>
  <si>
    <t>Prüfstand</t>
  </si>
  <si>
    <t>Werkstoff</t>
  </si>
  <si>
    <t>ME-Nr. Ritzel</t>
  </si>
  <si>
    <t>ME-Nr. Rad</t>
  </si>
  <si>
    <t>Öltemperatur</t>
  </si>
  <si>
    <t>Ziel
Zahntemperatur</t>
  </si>
  <si>
    <t>Versagensart</t>
  </si>
  <si>
    <t>Ziel 
Drehoment
Ritzel</t>
  </si>
  <si>
    <t>verspannt</t>
  </si>
  <si>
    <t>Drehmoment Ritzel
T_0  nach Start</t>
  </si>
  <si>
    <t>15 min_Drehmoment Ritzel nach 15 min</t>
  </si>
  <si>
    <t>T
60 min</t>
  </si>
  <si>
    <t>T_nachgespannt</t>
  </si>
  <si>
    <t>Drehmoment Rad</t>
  </si>
  <si>
    <t>Drehzahl</t>
  </si>
  <si>
    <t>Lastwechsel</t>
  </si>
  <si>
    <t>Bemerkung</t>
  </si>
  <si>
    <t xml:space="preserve">Grübchenfläche </t>
  </si>
  <si>
    <t>kst-E_1</t>
  </si>
  <si>
    <t>KV4</t>
  </si>
  <si>
    <t>POM</t>
  </si>
  <si>
    <t>Zahnfußbruch</t>
  </si>
  <si>
    <t>Öltemperatur bei ca. 89°C</t>
  </si>
  <si>
    <t>kst-E_2</t>
  </si>
  <si>
    <t>kst-E_3</t>
  </si>
  <si>
    <t>Zahnfußbruch; 0-9400000 LW bei 13Nm, Rest bei 16Nm</t>
  </si>
  <si>
    <t>kst-E_4</t>
  </si>
  <si>
    <t>PEEK</t>
  </si>
  <si>
    <t>Zahnfußbruch/Abscheren</t>
  </si>
  <si>
    <t>kst-E_5</t>
  </si>
  <si>
    <t>0-157000 LW bei 16Nm; Flankenbruch</t>
  </si>
  <si>
    <t>kst-E_6</t>
  </si>
  <si>
    <t>ja</t>
  </si>
  <si>
    <t>Zahnfußbruch; nachgespannt bei 1 600 000 / 3 375 000 / 4 700 000 / 5 020 000 / 6 025 000 / 6 265 000</t>
  </si>
  <si>
    <t>kst-E_7</t>
  </si>
  <si>
    <t>nachgespannt bei 458 000/ Zahnfußbruch/nur Anrisse bei fast allen Zähnen keine kompleten Brüche/
Drehmoment stetig abgefallen</t>
  </si>
  <si>
    <t>kst-E_8</t>
  </si>
  <si>
    <t>rem</t>
  </si>
  <si>
    <t>Scher: Zähne ab</t>
  </si>
  <si>
    <t>nachgespannt bei 352 000; Flankenbruch/Abscheren/Grübchen</t>
  </si>
  <si>
    <t>kst-E_9</t>
  </si>
  <si>
    <t>ZFB/Scher: fast ab</t>
  </si>
  <si>
    <t>nachgespannt bei 37 000; zw. 37 000 - 130 000 bei 19,5 gelaufen; Zahnfußbruch</t>
  </si>
  <si>
    <t>kst-E_10</t>
  </si>
  <si>
    <t>ZFB: leicht</t>
  </si>
  <si>
    <t>nachgespannt bei 103 500; 125 000; 177 000; 585 000; (bei diesem Versuch immer: T_läuft &gt; T_eingestellt)</t>
  </si>
  <si>
    <t>kst-E_11</t>
  </si>
  <si>
    <t>Scher: fast ab; Grüb</t>
  </si>
  <si>
    <t>Flankenabscherung /Flankenschäden ggf. grübchenschaden</t>
  </si>
  <si>
    <t>kst-E_12</t>
  </si>
  <si>
    <t>982 000</t>
  </si>
  <si>
    <t>u.a. nachgespannt bei 550 000</t>
  </si>
  <si>
    <t>kst-E_13</t>
  </si>
  <si>
    <t>1 966 560</t>
  </si>
  <si>
    <t>nachgespannt bei 228 450; mittige Haarrisse sichtbar bei 1 833 391; anschließend noch einmal nachgezogen gelaufen bis (1h)</t>
  </si>
  <si>
    <t>kst-E_14</t>
  </si>
  <si>
    <t>ZFB: Zähne ab</t>
  </si>
  <si>
    <t>4 833 341</t>
  </si>
  <si>
    <t>nachgespannt bei 758 601; 767 221 (rechts Haarrisse); 2 788 171 (rechtslastig aber beidseitig Haarrisse); (abermals ab 13Nm) bis 4 771 797 (nun abschnittsweise mittendurchgängig), (abermals ab 13Nm) bis Ende</t>
  </si>
  <si>
    <t>kst-E_15</t>
  </si>
  <si>
    <t>ZFB: fast ab</t>
  </si>
  <si>
    <t>5 267 419</t>
  </si>
  <si>
    <t>nachgespannt 23 648; (ab 12,8Nm) bis 1 628 554 (phasenweise nichts oder HR rechts, einzelne HR mittig); 5 255 866 (querbeet rechts/ beidseitig/ fast bis Enden durchgängig); (abermals ab 13Nm) bis Ende</t>
  </si>
  <si>
    <t>kst-E_16</t>
  </si>
  <si>
    <t>2 367 756</t>
  </si>
  <si>
    <t>nachgespannt 88 927; 1 137 877; 1 264 666; (ohne autom. Stopp selbst nachgezogen bei 1 561 293); 2 320 222 (konstant mittig-durchgängige Risse ohne Enden); (ab 14,2Nm:) bis 2 367 756 (Stopp in30min)</t>
  </si>
  <si>
    <t>kst-E_17</t>
  </si>
  <si>
    <t>2 631 778</t>
  </si>
  <si>
    <t>(T_15min war bei 37 041); nachgespannt 122 310; (vorzeitig ohne Stopp bei 13,2Nm nachgez.:) 1 181 727; (ab 14,3Nm: bis) 2 203 561  (konstant mittig-durchgängige Risse ohne Enden); (ab 14,5Nm: bis) 2 432 061; (ab 14,5Nm: bis) 2 565 416; (jetzt starke Schwankung: ab 14,0 - 14,8Nm:) 2 631 778 (=ab jetzt wohl etwa immer +60 000Unterschied)</t>
  </si>
  <si>
    <t>kst-E_18</t>
  </si>
  <si>
    <t>15 798 773</t>
  </si>
  <si>
    <t>(T_15min war etwa bei 40 000); (vorzeitig ohne Stopp bei 9,3Nm nachgez.:) 3 118 236; (ab 10,5Nm:) bis Ende (Zähne abgebrochen)</t>
  </si>
  <si>
    <t>kst-E_19</t>
  </si>
  <si>
    <t>75()</t>
  </si>
  <si>
    <t>1 270 649</t>
  </si>
  <si>
    <t>(T_15min = Stopp) 14 902; (ab 16,7Nm:) 174 767; (ab 16,2Nm:) 340 471; (ab 16,8Nm:) 976 568; (ab 16,2Nm:) 1 097 167; (ab 16,4Nm:) 1 225 649; (ab 16,2Nm:) 1 270 649</t>
  </si>
  <si>
    <t>kst-E_20</t>
  </si>
  <si>
    <t>1 236 297</t>
  </si>
  <si>
    <t>(innerhalb T_15min schon vorab 0,8Nm verloren, gestoppt, nachgezogen, neugestartet, nicht gezählt) 385 402; (ab 16,3Nm:) 781 753; (ab 17,0Nm:) 1 226 056; (ab 15,8Nm:) 1 236 297</t>
  </si>
  <si>
    <t>kst-E_21</t>
  </si>
  <si>
    <t>6 255 871</t>
  </si>
  <si>
    <t>(ab 13Nm nicht nachgespannt bis:) 4 496 380; (ab 11,9Nm:) 4 578 392; (ab 13,0Nm:) 5 142 419; 5 867 736; 6 142 000; 6 255 317; 6 255 871</t>
  </si>
  <si>
    <t>kst-E_22</t>
  </si>
  <si>
    <t>(Stufg.) 80</t>
  </si>
  <si>
    <t>-</t>
  </si>
  <si>
    <t>Stufung 250T/500T/ 1M; 250 000 (--&gt; abgezogen: nur möglich mit Abziehen des Innenrings. =&gt; Abbruch nach 250 000)</t>
  </si>
  <si>
    <t>kst-E_23</t>
  </si>
  <si>
    <t>74()</t>
  </si>
  <si>
    <t>2 671 823</t>
  </si>
  <si>
    <t>(nach T_15min nachgezogen); (ab 15,0Nm:) 1 161 027; (ab 14,4Nm:) vorzeitig nachgezogen bei 1 492 565 bei 13,2Nm; (ab 14,5Nm:) 2 325 514; (ab 14,2Nm:) 2 454 768; (ab 15,0Nm:) 2 613 189 ; (ab 14,5Nm (starke Schwankung zw. 14,0…15,0)): 2 671 823</t>
  </si>
  <si>
    <t>kst-E_24</t>
  </si>
  <si>
    <t>Scher: Zähne ab; Grüb</t>
  </si>
  <si>
    <t>33 078 326</t>
  </si>
  <si>
    <r>
      <t>anfangs vorzeitig nachgezogen (nach 59 877() bei 12,0Nm); (ab 13,0Nm:) lief auf dieser Last nonstop durch, bei 8 850 579 (immer noch 12,7Nm!) vorzeitig runtergesetzt auf 11,9Nm; (ab besagten 11,9Nm:) vorzeitig abgebrochen bei</t>
    </r>
    <r>
      <rPr>
        <b/>
        <sz val="11"/>
        <color theme="9"/>
        <rFont val="Aptos Narrow"/>
        <family val="2"/>
        <scheme val="minor"/>
      </rPr>
      <t xml:space="preserve"> 12 776 316</t>
    </r>
    <r>
      <rPr>
        <sz val="11"/>
        <color theme="9"/>
        <rFont val="Aptos Narrow"/>
        <family val="2"/>
        <scheme val="minor"/>
      </rPr>
      <t>; (ab 12,2Nm:) 7406; (ab 12,2Nm:) 3 712 628; (ab 12,2Nm:) 11 063 816 (1.Bruch); (ab 12,6Nm:) 13 824 826; (ab 11,8...12,2Nm:) 14 856 265; (ab 11,8...12,5Nm:) 15 068 473; (ab 12,0...13,0Nm:) 16 183 297; (ab 11,8...13,0Nm:) 16 607 286; (ab 11,8...13,0Nm:)16 980 997; (ab 11,7...13,3Nm:) 18 093 039; (ab 11,7...13,3Nm:) 19 042 959 (dann reset auf 0); (ab 12,0..13,2Nm:) 1 246 940; (ab 11,1...13,2Nm:) 1 259 051 (ENDE); Gesamt=12776316+19042959+1259051</t>
    </r>
  </si>
  <si>
    <t>kst-E_25</t>
  </si>
  <si>
    <t>geflockte/kerb. Flanken</t>
  </si>
  <si>
    <r>
      <t xml:space="preserve">746 404 </t>
    </r>
    <r>
      <rPr>
        <sz val="11"/>
        <rFont val="Constantia"/>
        <family val="1"/>
      </rPr>
      <t>(Ill.!)</t>
    </r>
  </si>
  <si>
    <t>nachgespannt 292 732; (ab 16,4Nm:) 514 007; (ab 16,6Nm:) 646 315; (ab 16,7Nm:) 721 617; (16,3Nm:) 746 404</t>
  </si>
  <si>
    <t>kst-E_26</t>
  </si>
  <si>
    <t>4 737 335</t>
  </si>
  <si>
    <t>(T_15min = Stopp); (ab 16,4Nm:) 4 600 202(Zahnbruch); (ab 16,1Nm:) 4 729 633; (ab 15,8Nm:) 4 737 335</t>
  </si>
  <si>
    <t>kst-E_27</t>
  </si>
  <si>
    <t>12 048 466</t>
  </si>
  <si>
    <t>(T_15min = Stopp) vorzeitig nachgezogen bei 41 867 bei 13,2Nm; (ab 14,4Nm:) 12 032 238 (Scherbruch), (ab 13,7Nm:) 12 048 466</t>
  </si>
  <si>
    <t>kst-E_28</t>
  </si>
  <si>
    <t>13,0 (+0,4)</t>
  </si>
  <si>
    <t xml:space="preserve">   </t>
  </si>
  <si>
    <t>(T_15min = Stopp); (ab 15,0Nm:) 1 838 101; (ab 15,0Nm:) 2 537 960; (ab 13,6Nm:) 2 627 660 (schon hier ZFB?) ; (ab 14,8Nm:) 2 732 694 (hier ZFB.)</t>
  </si>
  <si>
    <t>kst-E_29</t>
  </si>
  <si>
    <t>15,0 (+0,3)</t>
  </si>
  <si>
    <t xml:space="preserve">        </t>
  </si>
  <si>
    <t>1 415 102</t>
  </si>
  <si>
    <t>(T_15min war bei 24 286); (ab 15,8Nm:) 363 488; (ab 16,2Nm:) 889 354; (ab 17,0Nm:) 1 372 088; (ab 15,8Nm:) 1 415 102</t>
  </si>
  <si>
    <t>kst-E_30</t>
  </si>
  <si>
    <t>Scher: Zahn ab; Grüb</t>
  </si>
  <si>
    <t>…</t>
  </si>
  <si>
    <t>(ab Beginn auf konstanten 12,1Nm:) vorzeitig abgebrochen bei 2 636 184; weiterführbar</t>
  </si>
  <si>
    <t>kst-E_31</t>
  </si>
  <si>
    <t>15 349 776</t>
  </si>
  <si>
    <t>anfangs vorzeitig nachgezogen (bei 13,8Nm); (ab 14,0Nm:) vorzeitig nachgezogen bei 13,2Nm bei 9 641 433 (Grübchen da); (ab 13,6Nm:) 10 474 859; (ab 14,6Nm:) bis 12 593 560 (Zahn einseitig gebrochen); (ab 14,5Nm:) 13 989 046; (ab 15,0Nm:) 14 875 713; (ab 14,5Nm:) 15 296 616; (ab 14,1Nm:) 15 349 776</t>
  </si>
  <si>
    <t>kst-E_32</t>
  </si>
  <si>
    <t>3 302 857</t>
  </si>
  <si>
    <t>(vorzeitig nachgezogen bei 13,2Nm bei 112 246); (1b 15,0Nm:) 2 797 497; (ab 14,9Nm:) 3 155 930, (ab 14,2Nm:) 3 270 913; (ab 14,3Nm:) 3 302 857</t>
  </si>
  <si>
    <t>kst-E_33</t>
  </si>
  <si>
    <t>(1-)2</t>
  </si>
  <si>
    <t>13,4…14,7</t>
  </si>
  <si>
    <t>13,0(2min)</t>
  </si>
  <si>
    <t>2 034 128</t>
  </si>
  <si>
    <t>kst-E_34</t>
  </si>
  <si>
    <t>4 547 272</t>
  </si>
  <si>
    <t>3 351 962; (ab 14,5Nm:) 4 361 463 (noch alle Zähne dran); (ab 14,7Nm:) 4 547 272 (komplett zahnlos!)</t>
  </si>
  <si>
    <t>kst-E_35</t>
  </si>
  <si>
    <t>?</t>
  </si>
  <si>
    <t>v</t>
  </si>
  <si>
    <t>14,4..15,8</t>
  </si>
  <si>
    <t>14,0…15,6</t>
  </si>
  <si>
    <t>1 991 765</t>
  </si>
  <si>
    <t>1 178 056; (13,9..15,4Nm:) 1 569 413; (13,7…15,2Nm:) 1 750 831; (ab 14,1…15,0Nm:) 1 904 001; (ab 14,1…15,5Nm:) 1 991 765</t>
  </si>
  <si>
    <t>kst-E_36</t>
  </si>
  <si>
    <t>18 048 291</t>
  </si>
  <si>
    <t>16 147 296; (ab 15,0Nm:) 17 916 115; (ab 14,2Nm:) 18 048 291</t>
  </si>
  <si>
    <t>kst-E_37</t>
  </si>
  <si>
    <r>
      <t xml:space="preserve">Scher: Zahn ab; Grüb </t>
    </r>
    <r>
      <rPr>
        <i/>
        <sz val="11"/>
        <color theme="1"/>
        <rFont val="Aptos Narrow"/>
        <family val="2"/>
        <scheme val="minor"/>
      </rPr>
      <t>leicht</t>
    </r>
  </si>
  <si>
    <t>4 793 520</t>
  </si>
  <si>
    <t>4 735 409; (ab 16,0Nm:) 4 793 520</t>
  </si>
  <si>
    <t>kst-E_38</t>
  </si>
  <si>
    <t>1 323 915</t>
  </si>
  <si>
    <t>(vorzeitig nachgez. bei 17,3Nm bei 39 657); (ab 18,1Nm:) 1 164 393;  (ab 18,4Nm:) 1 288 764; (ab 18,7Nm - bzw große Schwankung jetzt! 18,1…19,0Nm:) 1 323 915</t>
  </si>
  <si>
    <t>kst-E_39</t>
  </si>
  <si>
    <t>14,3 (sehr stabil/konstant!)</t>
  </si>
  <si>
    <t>2 659 844</t>
  </si>
  <si>
    <t>(T_15min = Stopp); (ab 15,0Nm ab 37 000:) 2 088 175; (ab 15,0Nm:) 2 532 875; (ab 14,4Nm:) 2 646 485; (ab 13,7Nm:) 2 659 844</t>
  </si>
  <si>
    <t>kst-E_40</t>
  </si>
  <si>
    <t>39 370 251</t>
  </si>
  <si>
    <t>(bei 7,2Nm vorzeitig gestoppt&amp;entnommen) 18 456 526; (ab 8,8Nm:) 18 570 690; (ab 9,0Nm:) 20 000 000(Endzahl); (ab 8,9Nm:) 21 240 872; (ab 8,6Nm:) 39 366 468; (ab 7,4…8,7Nm schwankend:) 39 370 251</t>
  </si>
  <si>
    <t>kst-E_41</t>
  </si>
  <si>
    <t xml:space="preserve"> 16 954 646</t>
  </si>
  <si>
    <t>178 424; (ab 10,2Nm: schwankung 0,3) 3 073 682 (vorz. Abgebr. Bei 9,2Nm); (ab 10,3Nm:  schwankung 0,5) 16 077 752 (1 Zahn abgebrochen); (ab 9,7...10,3Nm:) 16 114 624; (ab 10,8...11,3Nm:) 16 953 365 (4 Zähne ab); (ab …Nm(zu stark schwankend:)) 16 954 646</t>
  </si>
  <si>
    <t>kst-E_42</t>
  </si>
  <si>
    <t>Zähne ab; Verschleiß</t>
  </si>
  <si>
    <t>762 732; (ab 12,8Nm:(0,5Schwankung) …</t>
  </si>
  <si>
    <t>kst-E_43</t>
  </si>
  <si>
    <t>(ab 16,0Nm:) 250 000; (ab 17,0Nm:) 500 000; (ab 16,5Nm:) 1 000 000</t>
  </si>
  <si>
    <t>kst-E_44</t>
  </si>
  <si>
    <t>kst-E_45</t>
  </si>
  <si>
    <t>kst-E_46</t>
  </si>
  <si>
    <t>kst-E_47</t>
  </si>
  <si>
    <t>kst-E_48</t>
  </si>
  <si>
    <t>kst-E_49</t>
  </si>
  <si>
    <t>kst-E_50</t>
  </si>
  <si>
    <t>KV3</t>
  </si>
  <si>
    <t>RT</t>
  </si>
  <si>
    <t>trocken</t>
  </si>
  <si>
    <t>7,5-7,7 bis 18882043(6,0), ab 8,2-8,4:   4630000 Ende: 6,8-7,1</t>
  </si>
  <si>
    <t>kst-E_51</t>
  </si>
  <si>
    <t>7.4-8.1 bis 2345884 (6,0), nachgespannt ab 7,7-8,2</t>
  </si>
  <si>
    <t>kst-E_52</t>
  </si>
  <si>
    <t xml:space="preserve">bis 2359447 (6,6),nachgespannt ab7,7-8,2  </t>
  </si>
  <si>
    <t>kst-E_53</t>
  </si>
  <si>
    <t xml:space="preserve">POM   </t>
  </si>
  <si>
    <t>8 421 620</t>
  </si>
  <si>
    <t>bis 3 267 280(7,7), nachverspannt ab 10,5 bis 7520091(9,0), ab 10,2</t>
  </si>
  <si>
    <t>kst-E_54</t>
  </si>
  <si>
    <t>kst-E_55</t>
  </si>
  <si>
    <t>kst-E_56</t>
  </si>
  <si>
    <t>kst-E_57</t>
  </si>
  <si>
    <t>kst-E_58</t>
  </si>
  <si>
    <t>kst-E_59</t>
  </si>
  <si>
    <t>kst-E_60</t>
  </si>
  <si>
    <t>kst-E_61</t>
  </si>
  <si>
    <t>kst-E_62</t>
  </si>
  <si>
    <t>890 703</t>
  </si>
  <si>
    <t>bis 130 000(13,4), nachverspannt ab 16,7</t>
  </si>
  <si>
    <t>909 152</t>
  </si>
  <si>
    <t xml:space="preserve">    </t>
  </si>
  <si>
    <t>713 128</t>
  </si>
  <si>
    <t>,</t>
  </si>
  <si>
    <t>3 352 861</t>
  </si>
  <si>
    <t>bis 1.500.000 (8,8), nachverspannt ab 10.2</t>
  </si>
  <si>
    <t>300 000</t>
  </si>
  <si>
    <t>(ca. 300 000, da Wert gelöscht wurde)</t>
  </si>
  <si>
    <t>1 372 541</t>
  </si>
  <si>
    <t xml:space="preserve">       </t>
  </si>
  <si>
    <t>918 751</t>
  </si>
  <si>
    <t>7 923 169</t>
  </si>
  <si>
    <t>Daten verlieren wegen Problem von Rechner</t>
  </si>
  <si>
    <t>11 760 388</t>
  </si>
  <si>
    <t>Temperatur schwankt wegen Temperatursensor</t>
  </si>
  <si>
    <t>kst-E_63</t>
  </si>
  <si>
    <t>PA46-GF30</t>
  </si>
  <si>
    <t>11,6-12,5</t>
  </si>
  <si>
    <t xml:space="preserve"> 10,6-12,2</t>
  </si>
  <si>
    <t>nach 2h 81,0°C Zahnflankentemperatur mit Emissionsgrad 1 (nach Test von Liang)</t>
  </si>
  <si>
    <t>11,4-11,5</t>
  </si>
  <si>
    <t xml:space="preserve"> </t>
  </si>
  <si>
    <t>nach 2h 81,9°C Zahnflankentemperatur mit Emissionsgrad 1 (nach Test von Liang)</t>
  </si>
  <si>
    <t>7,8-9,0</t>
  </si>
  <si>
    <t>7,6-8,9</t>
  </si>
  <si>
    <t>nach 2h 79,5°C Zahnflankentemperatur mit Emissionsgrad 1 (nach Test von Liang)</t>
  </si>
  <si>
    <t>8,4-8,5</t>
  </si>
  <si>
    <t>nach 2h 81,5°C Zahnflankentemperatur mit Emissionsgrad 1 (nach Test von Liang)</t>
  </si>
  <si>
    <t>15,5-17,1</t>
  </si>
  <si>
    <t>15,2-16,5</t>
  </si>
  <si>
    <t>nach 2h 84,1°C Zahnflankentemperatur mit Emissionsgrad 1 (nach Test von Liang)</t>
  </si>
  <si>
    <t>nicht vermerkt</t>
  </si>
  <si>
    <t xml:space="preserve"> nicht vermerkt</t>
  </si>
  <si>
    <t>14,4 Nm nach 2 h nach 2h 87,8°C Zahnflankentemperatur mit Emissionsgrad 1 (nach Test von Liang)</t>
  </si>
  <si>
    <t>2198207 um 9 Uhr (11,0 Nm), keine Auffälligkeit; 5-6 kaputte Zähne</t>
  </si>
  <si>
    <t>kst-E_64</t>
  </si>
  <si>
    <t>Drehmoment so stabil</t>
  </si>
  <si>
    <t>kst-E_65</t>
  </si>
  <si>
    <t>2 Mio nachverspannen (13,9 Nm)</t>
  </si>
  <si>
    <t>kst-E_66</t>
  </si>
  <si>
    <t>11,7-11,9</t>
  </si>
  <si>
    <t>11,6-11,8</t>
  </si>
  <si>
    <t>nach 1h 11,5-11,7, noch nicht nachverspannt; nach 3250000 nur noch 8,9Nm -&gt; nachverspannt auf 12,8-13,0 bei 74 °C; nach 4.220.000 bei 10,1--&gt; nachverspannen ab 11,9 - 12,1Nm -&gt; nach 5245000 11,1 --&gt; nachverspannt auf 12,2-12,3 bei 74 °C</t>
  </si>
  <si>
    <t>kst-E-67</t>
  </si>
  <si>
    <t>5 404 530</t>
  </si>
  <si>
    <t>kst-E_68</t>
  </si>
  <si>
    <t>ZFB</t>
  </si>
  <si>
    <t>12,9-13,1</t>
  </si>
  <si>
    <t>12,4-12,5</t>
  </si>
  <si>
    <t>1912000 11,3 Nm --&gt; nachverspannt auf  13,1-13,3 Nm
2192000 9,9 Nm --&gt; nachverspannt auf 13,1-13,3 Nm
3500000 10,6 Nm--&gt; nachverspant auf 13,1 - 13,3 Nm</t>
  </si>
  <si>
    <t>kst-E_69</t>
  </si>
  <si>
    <t>ZFB: Zahn 34</t>
  </si>
  <si>
    <t>10,3-10,5</t>
  </si>
  <si>
    <t>10,1-10,2</t>
  </si>
  <si>
    <t>1251000 9,6 Nm --&gt; nachverspannt auf  7,7-7,9 Nm ausversehen falsches Drehmoment eingestellt, deswegen über Nacht Anfang mit 7,9 Nm
3223000 7,7-7,9 Nm --&gt; nicht nachverspannt, Verzahnung mit bloßem Auge noch ohne Grübchen oder Fußbruchanbahnung
3850000 7,3-7,4 Nm --&gt; nachverspannt auf  7,7-7,9 Nm
5276000 7,1-7,2 Nm --&gt; nachverspannt auf  7,9-8,1 Nm
7658000 6,7 Nm --&gt; nachverspannt auf  auf 8,3-8,5 Nm, damit bei den nächsten 1 Nm Verlust über 2Mio bis am Abend vom 17.09. 7,9 Nm in der Mitte liegt, leichte Grübchenbildung und erste Anzeichen von Ermüdung im Zahnfußbereich 
9079000 7,7-7,8 Nm --&gt; nicht nachverspannt, Ermüdungsstellen an Messzahn 3 werden zunehmend deutlich sichtbarer
12098000 7,0 Nm --&gt; nachverspannt auf  8,1-8,3 Nm (Hebel 1,2 Nm mit Masse 8,7 Nm statisch), im Bereich Messzahn 3 deutliche Merkmale eines kommenden Zahnfußbruchs, Grübchen verteilt auch im Bereich Messzahn 2
13793000 7,7-7,8 Nm --&gt; nicht nachverspannt
16043000 7,2-7,4 Nm --&gt; nachverspannt auf  7,8-7,9 Nm, Grübchen und Ermüdung im Zahnfußbereich deutlich zu sehen und annähernd gleich verteilt über dem Umfang. Messzahnbereich 3 am deutlichsten bislang.
18105000 7,4-7,5 Nm --&gt; nachverspannt auf  8,6-8,7 Nm, schlicht zuhnehmend Ermüdung im Zahnfußbereich, mehr als Grübchenwachstum
22172000 8,0-8,1 Nm --&gt; nicht nachverspannt, sinusförmiges Geräusch -&gt; Vermutung demnächst Versagen -&gt; nach wiederanfahren 7,8-8,0
24956000 7,9-8,0 Nm --&gt; nicht nachverspannt -&gt; einen Zahn "angestupst", direkt umgeknickt (zwei vor Messzahn 3)</t>
  </si>
  <si>
    <t>Durch Änderung des Temperatursensors beim Prüfkasten, andere Düse, und womöglich zu wenig Volumenstrom</t>
  </si>
  <si>
    <t>kst-E_70</t>
  </si>
  <si>
    <t>ZFB: Zahn 40 und 41
Könnte auch durch übermäßigen Verschleiß sein -&gt; nachfragen</t>
  </si>
  <si>
    <t>160000 14,1-14,3 Nm --&gt; nachverspannt auf  17,1-17,2 Nm, um nicht nach einer Stunde schon direkt 2 Nm zu wenig zu haben.
1404000 13,7-13,8 Nm --&gt; nachverspannt auf  16,9-17,1 Nm, Ermüdung im Zahnfußbereich sichtbar
1512000 &lt;13,7 Nm --&gt; Abscheren der Zähne</t>
  </si>
  <si>
    <t>kst-E_71</t>
  </si>
  <si>
    <t>ZFB: Zahn 31, aber vorab abrasiver Verschleiß, einige Zähne sehr hell
ideal wäre für zukünftige Versuche mit Füllermaterial einen Datalog vom Prüfstand, um genau nachvollziehen zu können, wie das Drehmoment abfällt und entsprechend der Verschleiß und damit das Zahnspiel zunehmen, da es bei den faserverstärkten Kunststoffen vorallem bei höheren Drehmomenten deutlich abfällt</t>
  </si>
  <si>
    <t>16,2-16,4</t>
  </si>
  <si>
    <t>kst-E_72</t>
  </si>
  <si>
    <t>ZFB: Zahn 39, dennoch vorab übermäßiger Verschleiß</t>
  </si>
  <si>
    <t>16,4-16,5</t>
  </si>
  <si>
    <t>16,0-16,2</t>
  </si>
  <si>
    <t>Durch Änderung des Temperatursensors beim Prüfkasten, andere Düse, und womöglich zu wenig Volumenstrom.
Nach dem Versuch wurden fasrige Anteile auf dem Zahnrad gefunden, welche kleine Ölklumpen bildeten. 
Nicht 100 % auswertbar, ob Fasern vom Ölaufsaugtuch oder Glasfasern. Verschleiß der Stahlseite jedoch auch sichtbar.
Entsprechend wurde der Ölfiter gereinigt, da nur ca. 20 % des Metallmeshes frei waren. Anschließend wurde der Volumenstrom auf 1,5 l/min eingestellt.
Zusätzlich wurde der Prüfstand gereinigt, um Lekagen zu finden, dabei wurde die Mutter des Prufkastenablaufs nachgezogen, da dort Öl in erheblichen Mengen austritt. Die größte restliche Lekage befindet sich an einer Schnellkupplung.</t>
  </si>
  <si>
    <t>kst-E_73</t>
  </si>
  <si>
    <t>ZFB: Zahn 40, vorab deutlicher Verschleiß</t>
  </si>
  <si>
    <t>16,9-17,1</t>
  </si>
  <si>
    <t>16,5-16,7</t>
  </si>
  <si>
    <t>1719000 13,7 Nm -&gt; nachverspannt auf 17,4 Nm bei 70 °C im Vergleich zu den Versuchen 70-72 erste Runde nachverspannen erst nach ca. doppelter Lastspielzahl, was auf ein Schmierungsdefizit hindeutet. Anrisse in den Zahnfußrundungen sind dieses mal annähernd über alle Zähne gleich verteilt. Alles deutet auf geringeren Verschleiß hin und einen Restgewaltbruch in den Versuchen 70-72. Nach 1772000 16,4 Nm bei 66 °C, nach 1779000 16,0-16,2 bei 66 °C. Sinnusförmiges Geräusch des Versagens wird zunehmend lauter. Nach 1815000 15,7 bei 67 °C, nach 1845000 15,2 bei 67 °C, nach 1920000 14,0-14,6 bei 67 °C. fluktuierendes Moment lässt auf Zahnfußbruch schließen und dem war so nach dem Öffnen
… … Nm -&gt; nachverspannt auf … Nm bei … °C
… … Nm -&gt; nachverspannt auf … Nm bei … °C
… … Nm -&gt; nachverspannt auf … Nm bei … °C
… … Nm -&gt; nachverspannt auf … Nm bei … °C</t>
  </si>
  <si>
    <t>kst-E_74</t>
  </si>
  <si>
    <t>12,1-12,2</t>
  </si>
  <si>
    <t>50000, 12,1-12,2 Nm, TA 76 °C, TP 73 °C ; 100000, 12,0-12,1 Nm, TA 76 °C, TP 73 °C ; 150000, 11,8-11,9 Nm, TA 76 °C, TP 73 °C ; 300000, 11,6-11,7, TA 76 °C, TP 73 °C ; 350000, 11,6-11,7, TA 76 °C, TP 73 °C ; 380000, 11,6-11,7, TA 77 °C, TP 74 °C ; 400000, 11,5-11,6, TA 76 °C, TP 73 °C ; 1000000, 11,2-11,3, TA 76 °C, TP 73 °C ; 1200000, 11,1-11,2, TA 76 °C, TP 73 °C ; 1350000, 11,0-11,1, TA 76 °C, TP 73 °C ;
1764000 10,8 Nm -&gt; nachverspannt auf 12,2-12,4 Nm bei TA 76 °C, TP 73 °C ;
2530000 10,8 Nm -&gt; nachverspannt auf 12,2-12,4 Nm bei TA 80 °C, TP 75 °C, visuelle Prüfung nach ca. 13,5 h: die drei markierten Zähne weisen noch nicht so deutliche Anrisse auf, jedoch andere Zähne vermehrt (leicht ungleichmäßig über den Umfang verteilt). Bilder aufgenommen. 2630000, 11,6-11,8, TA 77 °C, TP 74 °C (ca. 0,6 Verlust über 100000) ; 2730000, 11,2-11,3, TA 77 °C, TP 73 °C (ca. 0,4 Verlust über 100000) Überlagerung weniger Drehmoment aber auch mehr Verschleiß --&gt; weniger Drehmoment überwiegt noch; 2830000, 10,9-11,0, TA 77 °C, TP 73 °C  (ca. 0,3 Verlust über 100000); 2851000, 10,7, TA 77 °C, TP 73 °C (Schwankung wird nicht erkannt und direkt Abbruch);
2851000 10,7 Nm -&gt; nachverspannt auf 12,2-12,3 Nm bei TA 80 °C, TP 74 °C, visuelle Prüfung: die drei markierten Zähne weisen deutliche Anrisse auf, jedoch andere Zähne vermehrt (leicht ungleichmäßig über den Umfang verteilt). Bilder aufgenommen. 2951000, 11,8-11,9, TA 77 °C, TP 73 °C (ca. 0,4 Verlust über 100000); 3000000, 11,6-11,7, TA 77 °C, TP 74 °C (ca. 0,2 Verlust über 50000); 3273000, 10,7, TA 77 °C, TP 74 °C (ca. 1,0 Verlust über 273000);
3273000 10,7 Nm -&gt; nachverspannt auf 12,4-12,5 Nm bei  TA 77 °C, TP 74 °C, deutliche Anrisse, Bilder aufgenommen
4020000 10,7 Nm -&gt; nachverspannt auf 11,9-12,0 Nm bei TA 83 °C, TP 78 °C, (ca. 1,7 Verlust über 747000) schon leichtes sinusförmiges Versagensgeräusch zu hören
4429000 10,7 Nm -&gt; nachverspannt auf 12,4-12,9 Nm bei TA 83 °C, TP 75 °C, (ca. 1,2 Verlust über 400000), auffällig ist stärker fluktuierendes Moment (ca. 0,5 Nm anstatt sonst immer ca. 0,2 Nm. Versagensgeräusch deutlich lauter geworden. 
... 10,7 Nm -&gt; nachverspannt auf ... Nm bei TA 83 °C, TP 75 °C, (ca. 1,7 Verlust über ...)</t>
  </si>
  <si>
    <t xml:space="preserve">Beim ausgebauten Zustand Verspannkupplung verdreht. Deutliche Rastpunkte und schwergängige Bereiche. Entsprechend auf einen Bereich gestellt, in dem sich die Verspannkupplung weitgehend leicht verdrehen lässt. Im eingebauten Zustand mit 2 kg Zusatzmasse bei äußersten Position der Drehmomentklaue auf 14,9 Nm verspannt, dynamisch zu Beginn 12,4-12,5 Nm. Madenschraube ca. auf 4 Uhr, sodass Langloch blockiert werden kann.
Beim ersten Nachverspannen bei 1764000 auf 14,1 Nm verspannt, dynamisch bei 12,2-12,4 bei TA 78 °C, TP 75 °C
Ab diesem Versuch wird nach 1 Nm Drehmomentabfall nachverspannt mit max +5 % Drehmomentabweichung vom Sollmoment.
Als Abbruchkriterium Totalausfall ("Loss of drive"), jedoch bei Unterschreiten von 1 Nm Abfall innerhalb von 100000 Lastwechseln ebenfalls Abbruch, da konstante Drehmomentübertragung nicht mehr gewährleistet werden kann -&gt; kst-E Kunststoffverzahnungen langsames Risswachstum, weswegen kein eindeutiger Schadensausfall erkennbar wird und Ersatzausfallkriterium in Kraft tritt
Beim zweiten Nachverspannen bei 2530000 auf 13,4 Nm verspannt, dynamisch bei 12,2-12,4 bei TA 80 °C, TP 75 °C </t>
  </si>
  <si>
    <t>kst-E_75</t>
  </si>
  <si>
    <t>7,7-7,8</t>
  </si>
  <si>
    <t>7,2-7,4</t>
  </si>
  <si>
    <t>50000, 7,2-7,4 Nm, TA 78 °C, TP 74 °C ; 
270000 6,8 Nm -&gt; nachverspannt auf 7,8-7,9 Nm bei TA 80 °C, TP 75 °C ;  (ca. 1,2 Nm Verlust über 220000)
3653000 6,8 Nm -&gt; nachverspannt auf 8,4-8,5 Nm bei TA 83 °C, TP 75 °C ;  (ca. 1 Nm Verlust über 3383000), Bilder aufgenommen. Noch keine Anrisse. Verschleiß nicht wirklich erkennbar.
6610000 6,8 Nm -&gt; nachverspannt auf 8,5-8,7 Nm bei TA 86 °C, TP 76 °C ;  (ca. 1 Nm Verlust über 2957000), Bilder aufgenommen. Leichte Haarrisse
8410000 6,8 Nm -&gt; nachverspannt auf 8,6-8,7 Nm bei TA 91 °C, TP 77 °C ;  (ca. 1,7 Nm Verlust über 1800000), Bilder aufgenommen. Anrisse einzeln sichtbar.
11161000 6,8 Nm -&gt; nachverspannt auf 8,2-8,4 Nm bei TA 93 °C, TP 77 °C ;  (ca. 1,8 Nm Verlust über 2751000), Bilder aufgenommen. Anrisse einzeln sichtbar, keine große Veränderung.
14810000 6,8 Nm -&gt; nachverspannt auf 8,0-8,2 Nm bei TA 93 °C, TP 77 °C ;  (ca. 1,4 Nm Verlust über 3649000), Bilder aufgenommen. Anrisse deutlich sichtbar.
18365000 6,8 Nm -&gt; nachverspannt auf 8,5-8,6 Nm bei TA 83 °C, TP 75 °C; (ca. 1,2 Nm Verlust über 3555000), Bilder aufgenommen. Anrisse deutlich sichtbar. Beim Aufwärmen vollen Öldurchfluss, dadurch während Aufwärmen geringerer Temperaturunterscheid und kein überhitzen. Wieder zurück auf Markierung gestellt.
22513000 7,1-7,2 bei TA 84 °C, TP 74 °C, 23417000 6,9-7,0 bei TA 84 °C, TP 74 °C
23770000 6,8-7,0 Nm -&gt; nachverspannt auf 8,4-8,5 Nm bei TA 84 °C, TP 75 °C; (ca. 1,7 Nm Verlust über 5405000), Bilder aufgenommen. Anrisse deutlich sichtbar.
Aber noch gar kein Versagensgeräusch hörbar. 27160000 7,6-7,7 bei TA 84 °C, TP 74 °C, minimales Versagensgeräusch zu hören, sehr sehr leise, Drehmoment schwankt noch nicht stark. 27600000 7,5-7,6 bei TA 84 °C, TP 74 °C, 30775000 7,1-7,2 bei TA 85 °C, TP 74 °C, Versagensgeräusch wird langsam lauter, 31915000 6,9-7,0 bei TA 83 °C, TP 74 °C,
32015000 6,8-7,0 Nm -&gt; nachverspannt auf 7,9-8,0 Nm bei TA 81 °C, TP 75 °C; (ca. 1,6 Nm Verlust über 8245000), Bilder aufgenommen. Anrisse deutlich sichtbar.
Noch keine Zähne locker. Versagensgeräusch wird lauter. Drehzahlsensor ausgefallen. aber Drehmomentschwlle erreicht. Entsprechend Schätzung auf 40000000
Lastwechsel. Versagensgeräusch sehr laut, entsprechend Versuch beendet.</t>
  </si>
  <si>
    <t>160000 15,2 Nm --&gt; nachverspannt auf 17,2-17,3 Nm, bei 72 °C obwohl steuerung auf 67 eingestellt
962000 13,7 Nm --&gt; nachverspannt auf  16,5-16,7 Nm, bei 70 °C leichte Ermüdung im Zahnfußbereich zu sehen, aber eher hellere Zahnflächen, was auf Verschleiß hindeuten könnte
1173000 13,7 Nm --&gt; nachverspannt auf  17,1-17,2 Nm, bei 67 °C. Endlich herausgefunden, was ein Problem ist. Wenn der Prüfstand kalt ist, dann will er schnell auf die Prüfkastentemperatur hochheizen und überschätzt sich maßlos. Im Normalbetrieb ist die Aggregatstemperatur ca. 10 Kelvin höher. Beim Einrichten erreicht das Öl im Aggregat gerne 110°C oder mehr. Entsprechend muss beim korrekten Drehmoment einstellen vorab nur die Punpe aktiv sein, da sonst beim erneuten Einschalten die Öltemperatur im Prüfkasten über die eingestellte Hysterese schießt. Pumpe so lange Aktiv lassen, bis sich die Prüfkastentemperatur und Aggregattemperatur wieder angepasst haben. Dann Drehmoment erneut anpassen und losfahren.
1194000 15,9 Nm --&gt; nicht nachverspannt, aber extrem schnell Drehmomentverlust, entsprechende Vermutung ab ca. 1 Mio starker abrasiver Verschleiß
1210000 14,7 Nm --&gt; ZFB Zahn 31</t>
  </si>
  <si>
    <t>bei 68°C, nach paar Umdrehungen Temperatur auf 72° und 16,5-16,6 danach Drehmoment wieder abgefallen (Dieses Mal eingestellt bei Madenschraube oben) --&gt; nach 16min 16,0-16,2 bei 48000 und 71 °C trotz 67°C Ziel-Prüfkastentemperatur
233000 15,4-15,5 Nm --&gt; nicht nachverspannt, bei 67 °C Prüfkastentemperatur und 77 °C Aggregattemperatur
945000 13,7 Nm --&gt; nachverspannt auf 17,1-17,2 Nm, bei 69 °C, Ermüdung definitiv im Zahnfuß sichtbar und um Messzahn drei deutlich hellere Zähne
1273000 13,7 Nm --&gt; nachverspannt auf 17,1-17,2 Nm, bei 70 °C, Ermüdung im Zahnfußbereich nicht wesentlich mehr, aber Verschleiß aufgrund Notwendigkeit vom Nachverspannen. Durchflussmenge angepasst, da wieder Übertemperatur. Durch deutliches Erhöhen des Durchflusses wurde weitere Verstopfung ausgeschlossen und auf 1,5 l/min bei neuer Düse eingestellt. Entsprechend sollte ein weiterer 16 Nm versucht geplant werden, damit bei frisch eingestellter Durchflussströmung die Schmierung gleich zu den neuen Versuchen zumindest bei einem der 16er Versuche gegeben ist, um Verschleiß mit Punktewolke gegenüberstellen zu können. --&gt; 1305000 16,7-16,8 Nm; 1327000 16,1-16,2 Nm; 1346000 15,4-15,5 Nm;
1366000 14,8 Nm --&gt; Prüfstand ist sehr laut geworden --&gt; ZFB</t>
  </si>
  <si>
    <t>sehr schwankend("ssc"): Stopp nach 2min (2 327), (ab ssc: 13,3…15,7bzw16,0Nm) (auch später: 13,1…15,0Nm) bis 36 349; (ab 13,9Nm…15,7Nm:) 304 112; (ab 13,4…15,8Nm:) 1 019 086; (ab 13,5…15,8Nm:) 1 909 028; (ab 14,0…15,4Nm:) 1 963 654; (ab 14,0...15,1:) 2 034 128</t>
  </si>
  <si>
    <t>kst-E_76</t>
  </si>
  <si>
    <t>... 6,8 Nm -&gt; nachverspannt auf ... Nm bei TA ... °C, TP ... °C ;  (ca. ... Nm Verlust über ...) Bilder ... . Noch/Schon ... Anrisse. Verschleiß ... erkennbar.
... 6,8 Nm -&gt; nachverspannt auf ... Nm bei TA ... °C, TP ... °C ;  (ca. ... Nm Verlust über ...) Bilder ... . Noch/Schon ... Anrisse. Verschleiß ... erkennbar.
... 6,8 Nm -&gt; nachverspannt auf ... Nm bei TA ... °C, TP ... °C ;  (ca. ... Nm Verlust über ...) Bilder ... . Noch/Schon ... Anrisse. Verschleiß ... erkennbar.
... 6,8 Nm -&gt; nachverspannt auf ... Nm bei TA ... °C, TP ... °C ;  (ca. ... Nm Verlust über ...) Bilder ... . Noch/Schon ... Anrisse. Verschleiß ... erkennbar.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</si>
</sst>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sz val="11"/>
      <color theme="0" tint="-0.249977111117893"/>
      <name val="Aptos Narrow"/>
      <family val="2"/>
      <scheme val="minor"/>
    </font>
    <font>
      <b/>
      <i/>
      <sz val="11"/>
      <color theme="1"/>
      <name val="Aptos Narrow"/>
      <family val="2"/>
      <scheme val="minor"/>
    </font>
    <font>
      <sz val="11"/>
      <color rgb="FFFFC000"/>
      <name val="Aptos Narrow"/>
      <family val="2"/>
      <scheme val="minor"/>
    </font>
    <font>
      <b/>
      <sz val="11"/>
      <color rgb="FFFFC000"/>
      <name val="Aptos Narrow"/>
      <family val="2"/>
      <scheme val="minor"/>
    </font>
    <font>
      <sz val="11"/>
      <color theme="9"/>
      <name val="Aptos Narrow"/>
      <family val="2"/>
      <scheme val="minor"/>
    </font>
    <font>
      <b/>
      <sz val="11"/>
      <color theme="9"/>
      <name val="Aptos Narrow"/>
      <family val="2"/>
      <scheme val="minor"/>
    </font>
    <font>
      <sz val="11"/>
      <name val="Aptos Narrow"/>
      <family val="2"/>
      <scheme val="minor"/>
    </font>
    <font>
      <sz val="11"/>
      <name val="Constantia"/>
      <family val="1"/>
    </font>
    <font>
      <b/>
      <sz val="11"/>
      <color theme="1"/>
      <name val="Aptos Narrow"/>
      <family val="2"/>
      <scheme val="minor"/>
    </font>
    <font>
      <b/>
      <sz val="11"/>
      <color theme="2"/>
      <name val="Aptos Narrow"/>
      <family val="2"/>
      <scheme val="minor"/>
    </font>
    <font>
      <b/>
      <sz val="11"/>
      <name val="Aptos Narrow"/>
      <family val="2"/>
      <scheme val="minor"/>
    </font>
    <font>
      <i/>
      <sz val="11"/>
      <color theme="1"/>
      <name val="Aptos Narrow"/>
      <family val="2"/>
      <scheme val="minor"/>
    </font>
    <font>
      <b/>
      <i/>
      <u/>
      <sz val="11"/>
      <color theme="1"/>
      <name val="Aptos Narrow"/>
      <family val="2"/>
      <scheme val="minor"/>
    </font>
  </fonts>
  <fills count="11">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rgb="FFFFFF00"/>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162">
    <xf numFmtId="0" fontId="0" fillId="0" borderId="0" xfId="0"/>
    <xf numFmtId="0" fontId="0" fillId="0" borderId="1" xfId="0" applyBorder="1" applyAlignment="1">
      <alignment horizontal="center" vertical="center"/>
    </xf>
    <xf numFmtId="0" fontId="0" fillId="0" borderId="1" xfId="0" applyBorder="1" applyAlignment="1">
      <alignment horizontal="right" vertical="center" wrapText="1"/>
    </xf>
    <xf numFmtId="0" fontId="0" fillId="0" borderId="1" xfId="0" applyBorder="1" applyAlignment="1">
      <alignment horizontal="center" vertical="center" wrapText="1"/>
    </xf>
    <xf numFmtId="0" fontId="0" fillId="0" borderId="2" xfId="0" applyBorder="1" applyAlignment="1">
      <alignment horizontal="left" vertical="center"/>
    </xf>
    <xf numFmtId="0" fontId="1" fillId="2" borderId="1" xfId="0" applyFont="1" applyFill="1" applyBorder="1"/>
    <xf numFmtId="14" fontId="1" fillId="2" borderId="1" xfId="0" applyNumberFormat="1" applyFont="1" applyFill="1" applyBorder="1"/>
    <xf numFmtId="0" fontId="1" fillId="2" borderId="1" xfId="0" applyFont="1" applyFill="1" applyBorder="1" applyAlignment="1">
      <alignment horizontal="right"/>
    </xf>
    <xf numFmtId="0" fontId="1" fillId="2" borderId="1" xfId="0" applyFont="1" applyFill="1" applyBorder="1" applyAlignment="1">
      <alignment horizontal="left"/>
    </xf>
    <xf numFmtId="0" fontId="1" fillId="3" borderId="1" xfId="0" applyFont="1" applyFill="1" applyBorder="1"/>
    <xf numFmtId="14" fontId="1" fillId="3" borderId="1" xfId="0" applyNumberFormat="1" applyFont="1" applyFill="1" applyBorder="1" applyAlignment="1">
      <alignment horizontal="center"/>
    </xf>
    <xf numFmtId="0" fontId="1" fillId="3" borderId="1" xfId="0" applyFont="1" applyFill="1" applyBorder="1" applyAlignment="1">
      <alignment horizontal="right"/>
    </xf>
    <xf numFmtId="0" fontId="1" fillId="3" borderId="1" xfId="0" applyFont="1" applyFill="1" applyBorder="1" applyAlignment="1">
      <alignment horizontal="left"/>
    </xf>
    <xf numFmtId="14" fontId="1" fillId="2" borderId="1" xfId="0" applyNumberFormat="1" applyFont="1" applyFill="1" applyBorder="1" applyAlignment="1">
      <alignment horizontal="center"/>
    </xf>
    <xf numFmtId="0" fontId="1" fillId="2" borderId="3" xfId="0" applyFont="1" applyFill="1" applyBorder="1" applyAlignment="1">
      <alignment vertical="center"/>
    </xf>
    <xf numFmtId="14" fontId="1" fillId="2" borderId="3" xfId="0" applyNumberFormat="1" applyFont="1" applyFill="1" applyBorder="1" applyAlignment="1">
      <alignment horizontal="center" vertical="center"/>
    </xf>
    <xf numFmtId="0" fontId="1" fillId="2" borderId="3" xfId="0" applyFont="1" applyFill="1" applyBorder="1" applyAlignment="1">
      <alignment horizontal="right" vertical="center"/>
    </xf>
    <xf numFmtId="0" fontId="1" fillId="2" borderId="3" xfId="0" applyFont="1" applyFill="1" applyBorder="1" applyAlignment="1">
      <alignment horizontal="left" vertical="center"/>
    </xf>
    <xf numFmtId="0" fontId="1" fillId="2" borderId="3" xfId="0" applyFont="1" applyFill="1" applyBorder="1"/>
    <xf numFmtId="0" fontId="1" fillId="2" borderId="3" xfId="0" applyFont="1" applyFill="1" applyBorder="1" applyAlignment="1">
      <alignment horizontal="left" vertical="center" wrapText="1"/>
    </xf>
    <xf numFmtId="0" fontId="0" fillId="3" borderId="4" xfId="0" applyFill="1" applyBorder="1" applyAlignment="1">
      <alignment vertical="center"/>
    </xf>
    <xf numFmtId="14" fontId="0" fillId="3" borderId="5" xfId="0" applyNumberFormat="1" applyFill="1" applyBorder="1" applyAlignment="1">
      <alignment horizontal="center" vertical="center"/>
    </xf>
    <xf numFmtId="0" fontId="0" fillId="3" borderId="5" xfId="0" applyFill="1" applyBorder="1" applyAlignment="1">
      <alignment vertical="center"/>
    </xf>
    <xf numFmtId="0" fontId="0" fillId="3" borderId="5" xfId="0" applyFill="1" applyBorder="1"/>
    <xf numFmtId="0" fontId="0" fillId="3" borderId="5" xfId="0" applyFill="1" applyBorder="1" applyAlignment="1">
      <alignment horizontal="right" vertical="center"/>
    </xf>
    <xf numFmtId="0" fontId="0" fillId="3" borderId="5" xfId="0" applyFill="1" applyBorder="1" applyAlignment="1">
      <alignment horizontal="left" vertical="center"/>
    </xf>
    <xf numFmtId="0" fontId="2" fillId="3" borderId="5" xfId="0" applyFont="1" applyFill="1" applyBorder="1" applyAlignment="1">
      <alignment vertical="center"/>
    </xf>
    <xf numFmtId="0" fontId="0" fillId="3" borderId="6" xfId="0" applyFill="1" applyBorder="1" applyAlignment="1">
      <alignment vertical="center"/>
    </xf>
    <xf numFmtId="14" fontId="0" fillId="3" borderId="1" xfId="0" applyNumberFormat="1" applyFill="1" applyBorder="1" applyAlignment="1">
      <alignment horizontal="center" vertical="center"/>
    </xf>
    <xf numFmtId="0" fontId="0" fillId="3" borderId="1" xfId="0" applyFill="1" applyBorder="1" applyAlignment="1">
      <alignment vertical="center"/>
    </xf>
    <xf numFmtId="0" fontId="0" fillId="3" borderId="1" xfId="0" applyFill="1" applyBorder="1"/>
    <xf numFmtId="0" fontId="0" fillId="3" borderId="1" xfId="0" applyFill="1" applyBorder="1" applyAlignment="1">
      <alignment horizontal="right" vertical="center"/>
    </xf>
    <xf numFmtId="0" fontId="0" fillId="3" borderId="1" xfId="0" applyFill="1" applyBorder="1" applyAlignment="1">
      <alignment horizontal="left" vertical="center"/>
    </xf>
    <xf numFmtId="0" fontId="2" fillId="3" borderId="1" xfId="0" applyFont="1" applyFill="1" applyBorder="1" applyAlignment="1">
      <alignment vertical="center"/>
    </xf>
    <xf numFmtId="0" fontId="0" fillId="2" borderId="6" xfId="0" applyFill="1" applyBorder="1" applyAlignment="1">
      <alignment vertical="center"/>
    </xf>
    <xf numFmtId="14" fontId="0" fillId="2" borderId="1" xfId="0" applyNumberFormat="1"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right" vertical="center"/>
    </xf>
    <xf numFmtId="0" fontId="0" fillId="2" borderId="1" xfId="0" applyFill="1" applyBorder="1" applyAlignment="1">
      <alignment horizontal="left" vertical="center"/>
    </xf>
    <xf numFmtId="0" fontId="2" fillId="2" borderId="1" xfId="0" applyFont="1" applyFill="1" applyBorder="1" applyAlignment="1">
      <alignment vertical="center"/>
    </xf>
    <xf numFmtId="0" fontId="0" fillId="2" borderId="1" xfId="0" applyFill="1" applyBorder="1"/>
    <xf numFmtId="0" fontId="0" fillId="2" borderId="1" xfId="0" applyFill="1" applyBorder="1" applyAlignment="1">
      <alignment horizontal="center" vertical="center"/>
    </xf>
    <xf numFmtId="0" fontId="3" fillId="2" borderId="1" xfId="0" applyFont="1" applyFill="1" applyBorder="1" applyAlignment="1">
      <alignment vertical="center"/>
    </xf>
    <xf numFmtId="0" fontId="3" fillId="2" borderId="1" xfId="0" applyFont="1" applyFill="1" applyBorder="1" applyAlignment="1">
      <alignment horizontal="right" vertical="center"/>
    </xf>
    <xf numFmtId="0" fontId="3" fillId="2" borderId="1" xfId="0" applyFont="1" applyFill="1" applyBorder="1" applyAlignment="1">
      <alignment horizontal="left" vertical="center"/>
    </xf>
    <xf numFmtId="0" fontId="2" fillId="2" borderId="1" xfId="0" applyFont="1" applyFill="1" applyBorder="1" applyAlignment="1">
      <alignment horizontal="left" vertical="center"/>
    </xf>
    <xf numFmtId="0" fontId="0" fillId="2" borderId="7" xfId="0" applyFill="1" applyBorder="1" applyAlignment="1">
      <alignment vertical="center"/>
    </xf>
    <xf numFmtId="14" fontId="0" fillId="2" borderId="8" xfId="0" applyNumberFormat="1" applyFill="1" applyBorder="1" applyAlignment="1">
      <alignment horizontal="center" vertical="center"/>
    </xf>
    <xf numFmtId="0" fontId="0" fillId="2" borderId="8" xfId="0" applyFill="1" applyBorder="1" applyAlignment="1">
      <alignment vertical="center"/>
    </xf>
    <xf numFmtId="0" fontId="0" fillId="2" borderId="8" xfId="0" applyFill="1" applyBorder="1" applyAlignment="1">
      <alignment horizontal="left" vertical="center"/>
    </xf>
    <xf numFmtId="0" fontId="0" fillId="2" borderId="8" xfId="0" applyFill="1" applyBorder="1" applyAlignment="1">
      <alignment horizontal="right" vertical="center"/>
    </xf>
    <xf numFmtId="0" fontId="0" fillId="2" borderId="4" xfId="0" applyFill="1" applyBorder="1" applyAlignment="1">
      <alignment vertical="center"/>
    </xf>
    <xf numFmtId="14" fontId="0" fillId="2" borderId="5" xfId="0" applyNumberFormat="1" applyFill="1" applyBorder="1" applyAlignment="1">
      <alignment horizontal="center" vertical="center"/>
    </xf>
    <xf numFmtId="0" fontId="0" fillId="2" borderId="5" xfId="0" applyFill="1" applyBorder="1" applyAlignment="1">
      <alignment vertical="center"/>
    </xf>
    <xf numFmtId="0" fontId="0" fillId="2" borderId="5" xfId="0" applyFill="1" applyBorder="1" applyAlignment="1">
      <alignment horizontal="left" vertical="center"/>
    </xf>
    <xf numFmtId="0" fontId="0" fillId="2" borderId="5" xfId="0" applyFill="1" applyBorder="1"/>
    <xf numFmtId="0" fontId="0" fillId="2" borderId="5" xfId="0" applyFill="1" applyBorder="1" applyAlignment="1">
      <alignment horizontal="right" vertical="center"/>
    </xf>
    <xf numFmtId="0" fontId="1" fillId="2" borderId="6" xfId="0" applyFont="1" applyFill="1" applyBorder="1"/>
    <xf numFmtId="0" fontId="1" fillId="2" borderId="1" xfId="0" applyFont="1" applyFill="1" applyBorder="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horizontal="right" vertical="center"/>
    </xf>
    <xf numFmtId="0" fontId="1" fillId="2" borderId="1" xfId="0" quotePrefix="1" applyFont="1" applyFill="1" applyBorder="1" applyAlignment="1">
      <alignment horizontal="right" vertical="center"/>
    </xf>
    <xf numFmtId="0" fontId="1" fillId="2" borderId="1" xfId="0" quotePrefix="1" applyFont="1" applyFill="1" applyBorder="1" applyAlignment="1">
      <alignment horizontal="left" vertical="center"/>
    </xf>
    <xf numFmtId="0" fontId="1" fillId="2" borderId="1" xfId="0" quotePrefix="1" applyFont="1" applyFill="1" applyBorder="1" applyAlignment="1">
      <alignment horizontal="center"/>
    </xf>
    <xf numFmtId="0" fontId="0" fillId="2" borderId="6" xfId="0" applyFill="1" applyBorder="1"/>
    <xf numFmtId="14" fontId="0" fillId="2" borderId="1" xfId="0" applyNumberFormat="1" applyFill="1" applyBorder="1" applyAlignment="1">
      <alignment horizontal="center"/>
    </xf>
    <xf numFmtId="0" fontId="3" fillId="2" borderId="1" xfId="0" applyFont="1" applyFill="1" applyBorder="1"/>
    <xf numFmtId="0" fontId="3" fillId="2" borderId="1" xfId="0" applyFont="1" applyFill="1" applyBorder="1" applyAlignment="1">
      <alignment horizontal="right"/>
    </xf>
    <xf numFmtId="0" fontId="4" fillId="2" borderId="1" xfId="0" applyFont="1" applyFill="1" applyBorder="1" applyAlignment="1">
      <alignment horizontal="left" vertical="center"/>
    </xf>
    <xf numFmtId="0" fontId="0" fillId="2" borderId="1" xfId="0" applyFill="1" applyBorder="1" applyAlignment="1">
      <alignment horizontal="left"/>
    </xf>
    <xf numFmtId="0" fontId="5" fillId="3" borderId="6" xfId="0" applyFont="1" applyFill="1" applyBorder="1"/>
    <xf numFmtId="14" fontId="5" fillId="3" borderId="1" xfId="0" applyNumberFormat="1" applyFont="1" applyFill="1" applyBorder="1" applyAlignment="1">
      <alignment horizontal="center"/>
    </xf>
    <xf numFmtId="0" fontId="5" fillId="3" borderId="1" xfId="0" applyFont="1" applyFill="1" applyBorder="1" applyAlignment="1">
      <alignment vertical="center"/>
    </xf>
    <xf numFmtId="0" fontId="5" fillId="3" borderId="1" xfId="0" applyFont="1" applyFill="1" applyBorder="1" applyAlignment="1">
      <alignment horizontal="left" vertical="center"/>
    </xf>
    <xf numFmtId="0" fontId="5" fillId="3" borderId="1" xfId="0" applyFont="1" applyFill="1" applyBorder="1"/>
    <xf numFmtId="0" fontId="5" fillId="3" borderId="1" xfId="0" applyFont="1" applyFill="1" applyBorder="1" applyAlignment="1">
      <alignment horizontal="right" vertical="center"/>
    </xf>
    <xf numFmtId="0" fontId="5" fillId="3" borderId="1" xfId="0" applyFont="1" applyFill="1" applyBorder="1" applyAlignment="1">
      <alignment horizontal="right"/>
    </xf>
    <xf numFmtId="0" fontId="5" fillId="3" borderId="1" xfId="0" applyFont="1" applyFill="1" applyBorder="1" applyAlignment="1">
      <alignment horizontal="left"/>
    </xf>
    <xf numFmtId="0" fontId="7" fillId="4" borderId="6" xfId="0" applyFont="1" applyFill="1" applyBorder="1"/>
    <xf numFmtId="14" fontId="7" fillId="4" borderId="1" xfId="0" applyNumberFormat="1" applyFont="1" applyFill="1" applyBorder="1"/>
    <xf numFmtId="0" fontId="7" fillId="4" borderId="1" xfId="0" applyFont="1" applyFill="1" applyBorder="1" applyAlignment="1">
      <alignment vertical="center"/>
    </xf>
    <xf numFmtId="0" fontId="7" fillId="4" borderId="1" xfId="0" applyFont="1" applyFill="1" applyBorder="1" applyAlignment="1">
      <alignment horizontal="left" vertical="center"/>
    </xf>
    <xf numFmtId="0" fontId="7" fillId="4" borderId="1" xfId="0" applyFont="1" applyFill="1" applyBorder="1"/>
    <xf numFmtId="0" fontId="7" fillId="4" borderId="1" xfId="0" applyFont="1" applyFill="1" applyBorder="1" applyAlignment="1">
      <alignment horizontal="right"/>
    </xf>
    <xf numFmtId="0" fontId="7" fillId="4" borderId="1" xfId="0" applyFont="1" applyFill="1" applyBorder="1" applyAlignment="1">
      <alignment horizontal="left"/>
    </xf>
    <xf numFmtId="0" fontId="0" fillId="3" borderId="6" xfId="0" applyFill="1" applyBorder="1"/>
    <xf numFmtId="14" fontId="0" fillId="3" borderId="1" xfId="0" applyNumberFormat="1" applyFill="1" applyBorder="1"/>
    <xf numFmtId="0" fontId="0" fillId="3" borderId="1" xfId="0" applyFill="1" applyBorder="1" applyAlignment="1">
      <alignment horizontal="right"/>
    </xf>
    <xf numFmtId="0" fontId="7" fillId="3" borderId="1" xfId="0" applyFont="1" applyFill="1" applyBorder="1" applyAlignment="1">
      <alignment horizontal="left"/>
    </xf>
    <xf numFmtId="0" fontId="0" fillId="3" borderId="1" xfId="0" applyFill="1" applyBorder="1" applyAlignment="1">
      <alignment horizontal="left"/>
    </xf>
    <xf numFmtId="0" fontId="0" fillId="3" borderId="1" xfId="0" applyFill="1" applyBorder="1" applyAlignment="1">
      <alignment horizontal="center"/>
    </xf>
    <xf numFmtId="0" fontId="0" fillId="5" borderId="6" xfId="0" applyFill="1" applyBorder="1"/>
    <xf numFmtId="14" fontId="0" fillId="5" borderId="1" xfId="0" applyNumberFormat="1" applyFill="1" applyBorder="1"/>
    <xf numFmtId="0" fontId="0" fillId="5" borderId="1" xfId="0" applyFill="1" applyBorder="1"/>
    <xf numFmtId="0" fontId="0" fillId="5" borderId="1" xfId="0" applyFill="1" applyBorder="1" applyAlignment="1">
      <alignment horizontal="right"/>
    </xf>
    <xf numFmtId="0" fontId="0" fillId="5" borderId="1" xfId="0" applyFill="1" applyBorder="1" applyAlignment="1">
      <alignment horizontal="left"/>
    </xf>
    <xf numFmtId="0" fontId="0" fillId="5" borderId="1" xfId="0" applyFill="1" applyBorder="1" applyAlignment="1">
      <alignment horizontal="center" vertical="center"/>
    </xf>
    <xf numFmtId="0" fontId="9" fillId="5" borderId="1" xfId="0" applyFont="1" applyFill="1" applyBorder="1"/>
    <xf numFmtId="14" fontId="5" fillId="3" borderId="1" xfId="0" applyNumberFormat="1" applyFont="1" applyFill="1" applyBorder="1"/>
    <xf numFmtId="0" fontId="0" fillId="3" borderId="7" xfId="0" applyFill="1" applyBorder="1"/>
    <xf numFmtId="14" fontId="0" fillId="3" borderId="8" xfId="0" applyNumberFormat="1" applyFill="1" applyBorder="1"/>
    <xf numFmtId="0" fontId="0" fillId="3" borderId="8" xfId="0" applyFill="1" applyBorder="1"/>
    <xf numFmtId="0" fontId="0" fillId="3" borderId="8" xfId="0" applyFill="1" applyBorder="1" applyAlignment="1">
      <alignment horizontal="right"/>
    </xf>
    <xf numFmtId="0" fontId="0" fillId="3" borderId="8" xfId="0" applyFill="1" applyBorder="1" applyAlignment="1">
      <alignment horizontal="left"/>
    </xf>
    <xf numFmtId="0" fontId="0" fillId="3" borderId="8" xfId="0" applyFill="1" applyBorder="1" applyAlignment="1">
      <alignment horizontal="center"/>
    </xf>
    <xf numFmtId="0" fontId="0" fillId="3" borderId="8" xfId="0" applyFill="1" applyBorder="1" applyAlignment="1">
      <alignment vertical="center"/>
    </xf>
    <xf numFmtId="0" fontId="0" fillId="6" borderId="4" xfId="0" applyFill="1" applyBorder="1"/>
    <xf numFmtId="14" fontId="0" fillId="6" borderId="5" xfId="0" applyNumberFormat="1" applyFill="1" applyBorder="1"/>
    <xf numFmtId="0" fontId="0" fillId="6" borderId="5" xfId="0" applyFill="1" applyBorder="1"/>
    <xf numFmtId="0" fontId="0" fillId="6" borderId="5" xfId="0" applyFill="1" applyBorder="1" applyAlignment="1">
      <alignment horizontal="right"/>
    </xf>
    <xf numFmtId="0" fontId="0" fillId="6" borderId="5" xfId="0" applyFill="1" applyBorder="1" applyAlignment="1">
      <alignment horizontal="left"/>
    </xf>
    <xf numFmtId="0" fontId="0" fillId="6" borderId="5" xfId="0" applyFill="1" applyBorder="1" applyAlignment="1">
      <alignment horizontal="center"/>
    </xf>
    <xf numFmtId="0" fontId="0" fillId="7" borderId="6" xfId="0" applyFill="1" applyBorder="1"/>
    <xf numFmtId="14" fontId="0" fillId="7" borderId="1" xfId="0" applyNumberFormat="1" applyFill="1" applyBorder="1"/>
    <xf numFmtId="0" fontId="0" fillId="7" borderId="1" xfId="0" applyFill="1" applyBorder="1"/>
    <xf numFmtId="0" fontId="0" fillId="7" borderId="1" xfId="0" applyFill="1" applyBorder="1" applyAlignment="1">
      <alignment horizontal="right"/>
    </xf>
    <xf numFmtId="0" fontId="0" fillId="7" borderId="1" xfId="0" applyFill="1" applyBorder="1" applyAlignment="1">
      <alignment horizontal="left"/>
    </xf>
    <xf numFmtId="0" fontId="0" fillId="7" borderId="1" xfId="0" applyFill="1" applyBorder="1" applyAlignment="1">
      <alignment horizontal="center"/>
    </xf>
    <xf numFmtId="0" fontId="0" fillId="8" borderId="6" xfId="0" applyFill="1" applyBorder="1"/>
    <xf numFmtId="14" fontId="0" fillId="8" borderId="1" xfId="0" applyNumberFormat="1" applyFill="1" applyBorder="1"/>
    <xf numFmtId="0" fontId="0" fillId="6" borderId="1" xfId="0" applyFill="1" applyBorder="1"/>
    <xf numFmtId="0" fontId="0" fillId="8" borderId="1" xfId="0" applyFill="1" applyBorder="1"/>
    <xf numFmtId="0" fontId="0" fillId="6" borderId="1" xfId="0" applyFill="1" applyBorder="1" applyAlignment="1">
      <alignment horizontal="right"/>
    </xf>
    <xf numFmtId="0" fontId="0" fillId="6" borderId="9" xfId="0" applyFill="1" applyBorder="1"/>
    <xf numFmtId="0" fontId="0" fillId="6" borderId="9" xfId="0" applyFill="1" applyBorder="1" applyAlignment="1">
      <alignment horizontal="left"/>
    </xf>
    <xf numFmtId="0" fontId="0" fillId="8" borderId="1" xfId="0" applyFill="1" applyBorder="1" applyAlignment="1">
      <alignment horizontal="center"/>
    </xf>
    <xf numFmtId="0" fontId="0" fillId="8" borderId="1" xfId="0" applyFill="1" applyBorder="1" applyAlignment="1">
      <alignment horizontal="left"/>
    </xf>
    <xf numFmtId="0" fontId="10" fillId="7" borderId="1" xfId="0" applyFont="1" applyFill="1" applyBorder="1" applyAlignment="1">
      <alignment horizontal="center"/>
    </xf>
    <xf numFmtId="0" fontId="11" fillId="3" borderId="1" xfId="0" applyFont="1" applyFill="1" applyBorder="1"/>
    <xf numFmtId="14" fontId="0" fillId="2" borderId="1" xfId="0" applyNumberFormat="1" applyFill="1" applyBorder="1"/>
    <xf numFmtId="0" fontId="0" fillId="2" borderId="1" xfId="0" applyFill="1" applyBorder="1" applyAlignment="1">
      <alignment horizontal="right"/>
    </xf>
    <xf numFmtId="0" fontId="0" fillId="2" borderId="1" xfId="0" applyFill="1" applyBorder="1" applyAlignment="1">
      <alignment horizontal="center"/>
    </xf>
    <xf numFmtId="0" fontId="9" fillId="2" borderId="1" xfId="0" applyFont="1" applyFill="1" applyBorder="1"/>
    <xf numFmtId="0" fontId="13" fillId="2" borderId="1" xfId="0" applyFont="1" applyFill="1" applyBorder="1" applyAlignment="1">
      <alignment horizontal="left" vertical="center"/>
    </xf>
    <xf numFmtId="0" fontId="0" fillId="2" borderId="8" xfId="0" applyFill="1" applyBorder="1"/>
    <xf numFmtId="0" fontId="0" fillId="9" borderId="1" xfId="0" applyFill="1" applyBorder="1"/>
    <xf numFmtId="14" fontId="0" fillId="9" borderId="1" xfId="0" applyNumberFormat="1" applyFill="1" applyBorder="1"/>
    <xf numFmtId="0" fontId="0" fillId="9" borderId="1" xfId="0" applyFill="1" applyBorder="1" applyAlignment="1">
      <alignment horizontal="right" vertical="center"/>
    </xf>
    <xf numFmtId="0" fontId="0" fillId="9" borderId="1" xfId="0" applyFill="1" applyBorder="1" applyAlignment="1">
      <alignment vertical="center"/>
    </xf>
    <xf numFmtId="0" fontId="0" fillId="9" borderId="1" xfId="0" applyFill="1" applyBorder="1" applyAlignment="1">
      <alignment horizontal="left"/>
    </xf>
    <xf numFmtId="0" fontId="0" fillId="9" borderId="1" xfId="0" applyFill="1" applyBorder="1" applyAlignment="1">
      <alignment horizontal="right"/>
    </xf>
    <xf numFmtId="0" fontId="7" fillId="9" borderId="1" xfId="0" applyFont="1" applyFill="1" applyBorder="1" applyAlignment="1">
      <alignment horizontal="left"/>
    </xf>
    <xf numFmtId="0" fontId="9" fillId="9" borderId="1" xfId="0" applyFont="1" applyFill="1" applyBorder="1"/>
    <xf numFmtId="0" fontId="0" fillId="9" borderId="0" xfId="0" applyFill="1"/>
    <xf numFmtId="0" fontId="0" fillId="9" borderId="3" xfId="0" applyFill="1" applyBorder="1"/>
    <xf numFmtId="14" fontId="0" fillId="9" borderId="3" xfId="0" applyNumberFormat="1" applyFill="1" applyBorder="1"/>
    <xf numFmtId="0" fontId="0" fillId="9" borderId="3" xfId="0" applyFill="1" applyBorder="1" applyAlignment="1">
      <alignment horizontal="right"/>
    </xf>
    <xf numFmtId="0" fontId="0" fillId="9" borderId="3" xfId="0" applyFill="1" applyBorder="1" applyAlignment="1">
      <alignment horizontal="left"/>
    </xf>
    <xf numFmtId="0" fontId="0" fillId="10" borderId="1" xfId="0" applyFill="1" applyBorder="1"/>
    <xf numFmtId="14" fontId="0" fillId="10" borderId="1" xfId="0" applyNumberFormat="1" applyFill="1" applyBorder="1"/>
    <xf numFmtId="0" fontId="0" fillId="10" borderId="1" xfId="0" applyFill="1" applyBorder="1" applyAlignment="1">
      <alignment horizontal="right"/>
    </xf>
    <xf numFmtId="0" fontId="0" fillId="10" borderId="1" xfId="0" applyFill="1" applyBorder="1" applyAlignment="1">
      <alignment horizontal="left"/>
    </xf>
    <xf numFmtId="0" fontId="0" fillId="10" borderId="1" xfId="0" applyFill="1" applyBorder="1" applyAlignment="1">
      <alignment horizontal="left" wrapText="1"/>
    </xf>
    <xf numFmtId="0" fontId="0" fillId="9" borderId="2" xfId="0" applyFill="1" applyBorder="1"/>
    <xf numFmtId="14" fontId="0" fillId="9" borderId="2" xfId="0" applyNumberFormat="1" applyFill="1" applyBorder="1"/>
    <xf numFmtId="0" fontId="0" fillId="9" borderId="0" xfId="0" applyFill="1" applyAlignment="1">
      <alignment horizontal="left"/>
    </xf>
    <xf numFmtId="0" fontId="0" fillId="10" borderId="1" xfId="0" applyFill="1" applyBorder="1" applyAlignment="1">
      <alignment wrapText="1"/>
    </xf>
    <xf numFmtId="0" fontId="0" fillId="0" borderId="0" xfId="0" applyAlignment="1">
      <alignment horizontal="right"/>
    </xf>
    <xf numFmtId="0" fontId="0" fillId="0" borderId="0" xfId="0" applyAlignment="1">
      <alignment horizontal="left"/>
    </xf>
    <xf numFmtId="0" fontId="0" fillId="9" borderId="3" xfId="0" applyFill="1" applyBorder="1" applyAlignment="1">
      <alignment horizontal="left" vertical="top"/>
    </xf>
    <xf numFmtId="0" fontId="0" fillId="9" borderId="2" xfId="0" applyFill="1" applyBorder="1" applyAlignment="1">
      <alignment horizontal="left" vertical="top"/>
    </xf>
    <xf numFmtId="0" fontId="0" fillId="9" borderId="9" xfId="0" applyFill="1" applyBorder="1" applyAlignment="1">
      <alignment horizontal="lef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A9485-4D50-0041-9D5B-E8D35C0F1538}">
  <dimension ref="A1:U103"/>
  <sheetViews>
    <sheetView tabSelected="1" topLeftCell="A47" workbookViewId="0">
      <selection activeCell="T106" sqref="T106"/>
    </sheetView>
  </sheetViews>
  <sheetFormatPr baseColWidth="10" defaultRowHeight="15.75" x14ac:dyDescent="0.25"/>
  <cols>
    <col min="1" max="1" width="11.625" bestFit="1" customWidth="1"/>
    <col min="2" max="2" width="16" customWidth="1"/>
    <col min="3" max="3" width="4.625" customWidth="1"/>
    <col min="4" max="4" width="10.5" customWidth="1"/>
    <col min="5" max="5" width="6.875" customWidth="1"/>
    <col min="6" max="6" width="9.5" customWidth="1"/>
    <col min="7" max="7" width="5.375" customWidth="1"/>
    <col min="8" max="8" width="10.125" style="157" customWidth="1"/>
    <col min="9" max="9" width="5.5" customWidth="1"/>
    <col min="10" max="10" width="26.875" customWidth="1"/>
    <col min="11" max="11" width="8.625" customWidth="1"/>
    <col min="12" max="12" width="8.125" customWidth="1"/>
    <col min="13" max="13" width="19.875" customWidth="1"/>
    <col min="14" max="14" width="19.125" customWidth="1"/>
    <col min="15" max="15" width="12.875" customWidth="1"/>
    <col min="16" max="16" width="4.125" customWidth="1"/>
    <col min="17" max="17" width="10.375" customWidth="1"/>
    <col min="18" max="18" width="9.125" customWidth="1"/>
    <col min="19" max="19" width="13.5" customWidth="1"/>
    <col min="20" max="20" width="148" style="158" customWidth="1"/>
    <col min="21" max="21" width="195.5" customWidth="1"/>
  </cols>
  <sheetData>
    <row r="1" spans="1:21" ht="61.5" customHeight="1" x14ac:dyDescent="0.25">
      <c r="A1" s="1" t="s">
        <v>0</v>
      </c>
      <c r="B1" s="1" t="s">
        <v>1</v>
      </c>
      <c r="C1" s="1" t="s">
        <v>2</v>
      </c>
      <c r="D1" s="1" t="s">
        <v>3</v>
      </c>
      <c r="E1" s="1" t="s">
        <v>4</v>
      </c>
      <c r="F1" s="1" t="s">
        <v>5</v>
      </c>
      <c r="G1" s="1" t="s">
        <v>6</v>
      </c>
      <c r="H1" s="2" t="s">
        <v>7</v>
      </c>
      <c r="I1" s="3"/>
      <c r="J1" s="3" t="s">
        <v>8</v>
      </c>
      <c r="K1" s="3" t="s">
        <v>9</v>
      </c>
      <c r="L1" s="3" t="s">
        <v>10</v>
      </c>
      <c r="M1" s="3" t="s">
        <v>11</v>
      </c>
      <c r="N1" s="3" t="s">
        <v>12</v>
      </c>
      <c r="O1" s="3" t="s">
        <v>13</v>
      </c>
      <c r="P1" s="1" t="s">
        <v>14</v>
      </c>
      <c r="Q1" s="1" t="s">
        <v>15</v>
      </c>
      <c r="R1" s="1" t="s">
        <v>16</v>
      </c>
      <c r="S1" s="1" t="s">
        <v>17</v>
      </c>
      <c r="T1" s="4" t="s">
        <v>18</v>
      </c>
      <c r="U1" t="s">
        <v>19</v>
      </c>
    </row>
    <row r="2" spans="1:21" s="5" customFormat="1" ht="15" x14ac:dyDescent="0.25">
      <c r="A2" s="5" t="s">
        <v>20</v>
      </c>
      <c r="B2" s="6">
        <v>44999</v>
      </c>
      <c r="C2" s="5" t="s">
        <v>21</v>
      </c>
      <c r="D2" s="5" t="s">
        <v>22</v>
      </c>
      <c r="E2" s="5">
        <v>86481</v>
      </c>
      <c r="F2" s="5">
        <v>86433</v>
      </c>
      <c r="G2" s="5">
        <v>45</v>
      </c>
      <c r="H2" s="7"/>
      <c r="M2" s="5">
        <v>40</v>
      </c>
      <c r="Q2" s="5">
        <f>K2*1.0196</f>
        <v>0</v>
      </c>
      <c r="R2" s="5">
        <v>2250</v>
      </c>
      <c r="S2" s="5">
        <v>8600</v>
      </c>
      <c r="T2" s="8" t="s">
        <v>23</v>
      </c>
      <c r="U2" s="5" t="s">
        <v>24</v>
      </c>
    </row>
    <row r="3" spans="1:21" s="5" customFormat="1" ht="15" x14ac:dyDescent="0.25">
      <c r="A3" s="5" t="s">
        <v>25</v>
      </c>
      <c r="B3" s="6">
        <v>44999</v>
      </c>
      <c r="C3" s="5" t="s">
        <v>21</v>
      </c>
      <c r="D3" s="5" t="s">
        <v>22</v>
      </c>
      <c r="E3" s="5">
        <v>86481</v>
      </c>
      <c r="F3" s="5">
        <v>86450</v>
      </c>
      <c r="G3" s="5">
        <v>45</v>
      </c>
      <c r="H3" s="7"/>
      <c r="M3" s="5">
        <v>20</v>
      </c>
      <c r="Q3" s="5">
        <f t="shared" ref="Q3:Q45" si="0">K3*1.0196</f>
        <v>0</v>
      </c>
      <c r="R3" s="5">
        <v>2250</v>
      </c>
      <c r="S3" s="5">
        <v>298421</v>
      </c>
      <c r="T3" s="8" t="s">
        <v>23</v>
      </c>
    </row>
    <row r="4" spans="1:21" s="5" customFormat="1" ht="13.5" customHeight="1" x14ac:dyDescent="0.25">
      <c r="A4" s="5" t="s">
        <v>26</v>
      </c>
      <c r="B4" s="6">
        <v>45016</v>
      </c>
      <c r="C4" s="5" t="s">
        <v>21</v>
      </c>
      <c r="D4" s="5" t="s">
        <v>22</v>
      </c>
      <c r="E4" s="5">
        <v>86481</v>
      </c>
      <c r="F4" s="5">
        <v>86435</v>
      </c>
      <c r="G4" s="5">
        <v>45</v>
      </c>
      <c r="H4" s="7"/>
      <c r="M4" s="5">
        <v>15</v>
      </c>
      <c r="Q4" s="5">
        <f t="shared" si="0"/>
        <v>0</v>
      </c>
      <c r="R4" s="5">
        <v>2250</v>
      </c>
      <c r="S4" s="5">
        <v>10348251</v>
      </c>
      <c r="T4" s="8" t="s">
        <v>27</v>
      </c>
    </row>
    <row r="5" spans="1:21" s="9" customFormat="1" ht="13.5" customHeight="1" x14ac:dyDescent="0.25">
      <c r="A5" s="9" t="s">
        <v>28</v>
      </c>
      <c r="B5" s="10">
        <v>45020</v>
      </c>
      <c r="C5" s="9" t="s">
        <v>21</v>
      </c>
      <c r="D5" s="9" t="s">
        <v>29</v>
      </c>
      <c r="E5" s="9">
        <v>86481</v>
      </c>
      <c r="F5" s="9">
        <v>86490</v>
      </c>
      <c r="G5" s="9">
        <v>45</v>
      </c>
      <c r="H5" s="11"/>
      <c r="M5" s="9">
        <v>25</v>
      </c>
      <c r="Q5" s="9">
        <f t="shared" si="0"/>
        <v>0</v>
      </c>
      <c r="R5" s="9">
        <v>2250</v>
      </c>
      <c r="S5" s="9">
        <v>32297</v>
      </c>
      <c r="T5" s="12" t="s">
        <v>30</v>
      </c>
    </row>
    <row r="6" spans="1:21" s="9" customFormat="1" ht="16.5" customHeight="1" x14ac:dyDescent="0.25">
      <c r="A6" s="9" t="s">
        <v>31</v>
      </c>
      <c r="B6" s="10">
        <v>45020</v>
      </c>
      <c r="C6" s="9" t="s">
        <v>21</v>
      </c>
      <c r="D6" s="9" t="s">
        <v>29</v>
      </c>
      <c r="E6" s="9">
        <v>86481</v>
      </c>
      <c r="F6" s="9">
        <v>86491</v>
      </c>
      <c r="G6" s="9">
        <v>45</v>
      </c>
      <c r="H6" s="11"/>
      <c r="J6" s="12"/>
      <c r="M6" s="9">
        <v>20</v>
      </c>
      <c r="Q6" s="9">
        <f t="shared" si="0"/>
        <v>0</v>
      </c>
      <c r="R6" s="9">
        <v>2250</v>
      </c>
      <c r="S6" s="9">
        <v>1074965</v>
      </c>
      <c r="T6" s="12" t="s">
        <v>32</v>
      </c>
    </row>
    <row r="7" spans="1:21" s="5" customFormat="1" ht="17.25" customHeight="1" x14ac:dyDescent="0.25">
      <c r="A7" s="5" t="s">
        <v>33</v>
      </c>
      <c r="B7" s="13">
        <v>45021</v>
      </c>
      <c r="C7" s="5" t="s">
        <v>21</v>
      </c>
      <c r="D7" s="5" t="s">
        <v>22</v>
      </c>
      <c r="E7" s="5">
        <v>86481</v>
      </c>
      <c r="F7" s="5">
        <v>86451</v>
      </c>
      <c r="G7" s="5">
        <v>45</v>
      </c>
      <c r="H7" s="7"/>
      <c r="J7" s="8"/>
      <c r="K7" s="5">
        <v>16</v>
      </c>
      <c r="L7" s="5">
        <v>18.100000000000001</v>
      </c>
      <c r="M7" s="5">
        <v>16.399999999999999</v>
      </c>
      <c r="N7" s="5">
        <v>15.6</v>
      </c>
      <c r="O7" s="5">
        <v>15</v>
      </c>
      <c r="P7" s="5" t="s">
        <v>34</v>
      </c>
      <c r="Q7" s="5">
        <f t="shared" si="0"/>
        <v>16.313600000000001</v>
      </c>
      <c r="R7" s="5">
        <v>2250</v>
      </c>
      <c r="S7" s="5">
        <v>6352567</v>
      </c>
      <c r="T7" s="8" t="s">
        <v>35</v>
      </c>
    </row>
    <row r="8" spans="1:21" s="14" customFormat="1" ht="11.25" customHeight="1" thickBot="1" x14ac:dyDescent="0.3">
      <c r="A8" s="14" t="s">
        <v>36</v>
      </c>
      <c r="B8" s="15">
        <v>45042</v>
      </c>
      <c r="C8" s="14" t="s">
        <v>21</v>
      </c>
      <c r="D8" s="14" t="s">
        <v>22</v>
      </c>
      <c r="E8" s="14">
        <v>86481</v>
      </c>
      <c r="F8" s="14">
        <v>86434</v>
      </c>
      <c r="G8" s="14">
        <v>45</v>
      </c>
      <c r="H8" s="16"/>
      <c r="J8" s="17"/>
      <c r="K8" s="14">
        <v>18</v>
      </c>
      <c r="L8" s="14">
        <v>20.5</v>
      </c>
      <c r="M8" s="14">
        <v>19.3</v>
      </c>
      <c r="N8" s="14">
        <v>18.399999999999999</v>
      </c>
      <c r="O8" s="14">
        <v>17.7</v>
      </c>
      <c r="P8" s="14" t="s">
        <v>34</v>
      </c>
      <c r="Q8" s="18">
        <f t="shared" si="0"/>
        <v>18.352800000000002</v>
      </c>
      <c r="R8" s="14">
        <v>2250</v>
      </c>
      <c r="S8" s="14">
        <v>2649350</v>
      </c>
      <c r="T8" s="19" t="s">
        <v>37</v>
      </c>
    </row>
    <row r="9" spans="1:21" s="22" customFormat="1" ht="13.5" customHeight="1" x14ac:dyDescent="0.25">
      <c r="A9" s="20" t="s">
        <v>38</v>
      </c>
      <c r="B9" s="21">
        <v>45048</v>
      </c>
      <c r="C9" s="22" t="s">
        <v>21</v>
      </c>
      <c r="D9" s="22" t="s">
        <v>29</v>
      </c>
      <c r="E9" s="23">
        <v>86481</v>
      </c>
      <c r="F9" s="22">
        <v>86495</v>
      </c>
      <c r="G9" s="22">
        <v>75</v>
      </c>
      <c r="H9" s="24" t="s">
        <v>39</v>
      </c>
      <c r="I9" s="22">
        <v>3</v>
      </c>
      <c r="J9" s="25" t="s">
        <v>40</v>
      </c>
      <c r="K9" s="26">
        <v>18</v>
      </c>
      <c r="L9" s="22">
        <v>19</v>
      </c>
      <c r="M9" s="22">
        <v>18.600000000000001</v>
      </c>
      <c r="P9" s="22" t="s">
        <v>34</v>
      </c>
      <c r="Q9" s="23">
        <f t="shared" si="0"/>
        <v>18.352800000000002</v>
      </c>
      <c r="R9" s="22">
        <v>2250</v>
      </c>
      <c r="S9" s="22">
        <v>617466</v>
      </c>
      <c r="T9" s="25" t="s">
        <v>41</v>
      </c>
    </row>
    <row r="10" spans="1:21" s="29" customFormat="1" ht="17.25" customHeight="1" x14ac:dyDescent="0.25">
      <c r="A10" s="27" t="s">
        <v>42</v>
      </c>
      <c r="B10" s="28">
        <v>45050</v>
      </c>
      <c r="C10" s="29" t="s">
        <v>21</v>
      </c>
      <c r="D10" s="29" t="s">
        <v>29</v>
      </c>
      <c r="E10" s="30">
        <v>86481</v>
      </c>
      <c r="F10" s="29">
        <v>86492</v>
      </c>
      <c r="G10" s="29">
        <v>75</v>
      </c>
      <c r="H10" s="31">
        <v>80</v>
      </c>
      <c r="I10" s="29">
        <v>2</v>
      </c>
      <c r="J10" s="32" t="s">
        <v>43</v>
      </c>
      <c r="K10" s="33">
        <v>18</v>
      </c>
      <c r="L10" s="29">
        <v>19.100000000000001</v>
      </c>
      <c r="M10" s="29">
        <v>17.7</v>
      </c>
      <c r="N10" s="29">
        <v>17.3</v>
      </c>
      <c r="P10" s="29" t="s">
        <v>34</v>
      </c>
      <c r="Q10" s="30">
        <f t="shared" si="0"/>
        <v>18.352800000000002</v>
      </c>
      <c r="R10" s="30">
        <v>2250</v>
      </c>
      <c r="S10" s="29">
        <v>811285</v>
      </c>
      <c r="T10" s="32" t="s">
        <v>44</v>
      </c>
    </row>
    <row r="11" spans="1:21" s="36" customFormat="1" ht="14.25" customHeight="1" x14ac:dyDescent="0.25">
      <c r="A11" s="34" t="s">
        <v>45</v>
      </c>
      <c r="B11" s="35">
        <v>45055</v>
      </c>
      <c r="C11" s="36" t="s">
        <v>21</v>
      </c>
      <c r="D11" s="36" t="s">
        <v>22</v>
      </c>
      <c r="E11" s="36">
        <v>86481</v>
      </c>
      <c r="F11" s="36">
        <v>86436</v>
      </c>
      <c r="G11" s="36">
        <v>74</v>
      </c>
      <c r="H11" s="37">
        <v>80</v>
      </c>
      <c r="I11" s="36">
        <v>1</v>
      </c>
      <c r="J11" s="38" t="s">
        <v>46</v>
      </c>
      <c r="K11" s="39">
        <v>18</v>
      </c>
      <c r="L11" s="36">
        <v>18.3</v>
      </c>
      <c r="M11" s="36">
        <v>18.5</v>
      </c>
      <c r="N11" s="36">
        <v>17.600000000000001</v>
      </c>
      <c r="P11" s="36" t="s">
        <v>34</v>
      </c>
      <c r="Q11" s="36">
        <f t="shared" si="0"/>
        <v>18.352800000000002</v>
      </c>
      <c r="R11" s="40">
        <v>2250</v>
      </c>
      <c r="S11" s="36">
        <v>786587</v>
      </c>
      <c r="T11" s="38" t="s">
        <v>47</v>
      </c>
    </row>
    <row r="12" spans="1:21" s="29" customFormat="1" ht="15" customHeight="1" x14ac:dyDescent="0.25">
      <c r="A12" s="27" t="s">
        <v>48</v>
      </c>
      <c r="B12" s="28">
        <v>45058</v>
      </c>
      <c r="C12" s="29" t="s">
        <v>21</v>
      </c>
      <c r="D12" s="29" t="s">
        <v>29</v>
      </c>
      <c r="E12" s="30">
        <v>86481</v>
      </c>
      <c r="F12" s="29">
        <v>86509</v>
      </c>
      <c r="G12" s="29">
        <v>75</v>
      </c>
      <c r="H12" s="31">
        <v>80</v>
      </c>
      <c r="I12" s="29">
        <v>2</v>
      </c>
      <c r="J12" s="32" t="s">
        <v>49</v>
      </c>
      <c r="K12" s="29">
        <v>16</v>
      </c>
      <c r="L12" s="29">
        <v>15.6</v>
      </c>
      <c r="M12" s="29">
        <v>16.5</v>
      </c>
      <c r="O12" s="29">
        <v>16</v>
      </c>
      <c r="P12" s="29" t="s">
        <v>34</v>
      </c>
      <c r="Q12" s="29">
        <f t="shared" si="0"/>
        <v>16.313600000000001</v>
      </c>
      <c r="R12" s="29">
        <v>2250</v>
      </c>
      <c r="S12" s="29">
        <v>5403196</v>
      </c>
      <c r="T12" s="32" t="s">
        <v>50</v>
      </c>
    </row>
    <row r="13" spans="1:21" s="36" customFormat="1" ht="10.5" customHeight="1" x14ac:dyDescent="0.25">
      <c r="A13" s="34" t="s">
        <v>51</v>
      </c>
      <c r="B13" s="35">
        <v>45061</v>
      </c>
      <c r="C13" s="36" t="s">
        <v>21</v>
      </c>
      <c r="D13" s="36" t="s">
        <v>22</v>
      </c>
      <c r="E13" s="40">
        <v>86481</v>
      </c>
      <c r="F13" s="36">
        <v>86448</v>
      </c>
      <c r="G13" s="36">
        <v>74</v>
      </c>
      <c r="H13" s="37">
        <v>80</v>
      </c>
      <c r="I13" s="36">
        <v>1</v>
      </c>
      <c r="J13" s="38" t="s">
        <v>46</v>
      </c>
      <c r="K13" s="36">
        <v>16</v>
      </c>
      <c r="L13" s="36">
        <v>14.5</v>
      </c>
      <c r="M13" s="36">
        <v>16.8</v>
      </c>
      <c r="N13" s="36">
        <v>16</v>
      </c>
      <c r="P13" s="36" t="s">
        <v>34</v>
      </c>
      <c r="Q13" s="36">
        <f t="shared" si="0"/>
        <v>16.313600000000001</v>
      </c>
      <c r="R13" s="36">
        <v>2250</v>
      </c>
      <c r="S13" s="36" t="s">
        <v>52</v>
      </c>
      <c r="T13" s="38" t="s">
        <v>53</v>
      </c>
    </row>
    <row r="14" spans="1:21" s="36" customFormat="1" ht="12" customHeight="1" x14ac:dyDescent="0.25">
      <c r="A14" s="34" t="s">
        <v>54</v>
      </c>
      <c r="B14" s="35">
        <v>45063</v>
      </c>
      <c r="C14" s="36" t="s">
        <v>21</v>
      </c>
      <c r="D14" s="36" t="s">
        <v>22</v>
      </c>
      <c r="E14" s="36">
        <v>86481</v>
      </c>
      <c r="F14" s="36">
        <v>86447</v>
      </c>
      <c r="G14" s="36">
        <v>75</v>
      </c>
      <c r="H14" s="37">
        <v>80</v>
      </c>
      <c r="I14" s="36">
        <v>1</v>
      </c>
      <c r="J14" s="38" t="s">
        <v>46</v>
      </c>
      <c r="K14" s="41">
        <v>14</v>
      </c>
      <c r="L14" s="36">
        <v>14.2</v>
      </c>
      <c r="M14" s="36">
        <v>14.1</v>
      </c>
      <c r="N14" s="36">
        <v>13.5</v>
      </c>
      <c r="P14" s="36" t="s">
        <v>34</v>
      </c>
      <c r="Q14" s="36">
        <f t="shared" si="0"/>
        <v>14.2744</v>
      </c>
      <c r="R14" s="37">
        <v>2250</v>
      </c>
      <c r="S14" s="38" t="s">
        <v>55</v>
      </c>
      <c r="T14" s="38" t="s">
        <v>56</v>
      </c>
    </row>
    <row r="15" spans="1:21" s="36" customFormat="1" ht="15" customHeight="1" x14ac:dyDescent="0.25">
      <c r="A15" s="34" t="s">
        <v>57</v>
      </c>
      <c r="B15" s="35">
        <v>45068</v>
      </c>
      <c r="C15" s="36" t="s">
        <v>21</v>
      </c>
      <c r="D15" s="36" t="s">
        <v>22</v>
      </c>
      <c r="E15" s="40">
        <v>86481</v>
      </c>
      <c r="F15" s="36">
        <v>86446</v>
      </c>
      <c r="G15" s="36">
        <v>75</v>
      </c>
      <c r="H15" s="37" t="s">
        <v>39</v>
      </c>
      <c r="I15" s="36">
        <v>3</v>
      </c>
      <c r="J15" s="38" t="s">
        <v>58</v>
      </c>
      <c r="K15" s="38">
        <v>12</v>
      </c>
      <c r="L15" s="36">
        <v>12.5</v>
      </c>
      <c r="M15" s="36">
        <v>12.9</v>
      </c>
      <c r="N15" s="36">
        <v>12</v>
      </c>
      <c r="P15" s="36" t="s">
        <v>34</v>
      </c>
      <c r="Q15" s="36">
        <f t="shared" si="0"/>
        <v>12.235200000000001</v>
      </c>
      <c r="R15" s="37">
        <v>2250</v>
      </c>
      <c r="S15" s="38" t="s">
        <v>59</v>
      </c>
      <c r="T15" s="38" t="s">
        <v>60</v>
      </c>
    </row>
    <row r="16" spans="1:21" s="36" customFormat="1" ht="12.75" customHeight="1" x14ac:dyDescent="0.25">
      <c r="A16" s="34" t="s">
        <v>61</v>
      </c>
      <c r="B16" s="35">
        <v>45072</v>
      </c>
      <c r="C16" s="36" t="s">
        <v>21</v>
      </c>
      <c r="D16" s="36" t="s">
        <v>22</v>
      </c>
      <c r="E16" s="40">
        <v>86481</v>
      </c>
      <c r="F16" s="37">
        <v>86449</v>
      </c>
      <c r="G16" s="36">
        <v>75</v>
      </c>
      <c r="H16" s="37">
        <v>80</v>
      </c>
      <c r="I16" s="36">
        <v>2</v>
      </c>
      <c r="J16" s="38" t="s">
        <v>62</v>
      </c>
      <c r="K16" s="38">
        <v>12</v>
      </c>
      <c r="L16" s="36">
        <v>11.3</v>
      </c>
      <c r="M16" s="37">
        <v>12</v>
      </c>
      <c r="N16" s="37">
        <v>11.4</v>
      </c>
      <c r="P16" s="36" t="s">
        <v>34</v>
      </c>
      <c r="Q16" s="36">
        <f t="shared" si="0"/>
        <v>12.235200000000001</v>
      </c>
      <c r="R16" s="37">
        <v>2250</v>
      </c>
      <c r="S16" s="38" t="s">
        <v>63</v>
      </c>
      <c r="T16" s="38" t="s">
        <v>64</v>
      </c>
    </row>
    <row r="17" spans="1:20" s="36" customFormat="1" ht="11.25" customHeight="1" x14ac:dyDescent="0.25">
      <c r="A17" s="34" t="s">
        <v>65</v>
      </c>
      <c r="B17" s="35">
        <v>45078</v>
      </c>
      <c r="C17" s="36" t="s">
        <v>21</v>
      </c>
      <c r="D17" s="36" t="s">
        <v>22</v>
      </c>
      <c r="E17" s="36">
        <v>86481</v>
      </c>
      <c r="F17" s="42">
        <v>86444</v>
      </c>
      <c r="G17" s="42">
        <v>75</v>
      </c>
      <c r="H17" s="43">
        <v>80</v>
      </c>
      <c r="I17" s="43">
        <v>2</v>
      </c>
      <c r="J17" s="44" t="s">
        <v>62</v>
      </c>
      <c r="K17" s="41">
        <v>14</v>
      </c>
      <c r="L17" s="37">
        <v>14.1</v>
      </c>
      <c r="M17" s="37">
        <v>14.6</v>
      </c>
      <c r="N17" s="37">
        <v>13.7</v>
      </c>
      <c r="P17" s="36" t="s">
        <v>34</v>
      </c>
      <c r="Q17" s="36">
        <f t="shared" si="0"/>
        <v>14.2744</v>
      </c>
      <c r="R17" s="37">
        <v>2250</v>
      </c>
      <c r="S17" s="38" t="s">
        <v>66</v>
      </c>
      <c r="T17" s="38" t="s">
        <v>67</v>
      </c>
    </row>
    <row r="18" spans="1:20" s="36" customFormat="1" ht="15" customHeight="1" x14ac:dyDescent="0.25">
      <c r="A18" s="34" t="s">
        <v>68</v>
      </c>
      <c r="B18" s="35">
        <v>45082</v>
      </c>
      <c r="C18" s="36" t="s">
        <v>21</v>
      </c>
      <c r="D18" s="38" t="s">
        <v>22</v>
      </c>
      <c r="E18" s="40">
        <v>86481</v>
      </c>
      <c r="F18" s="37">
        <v>86438</v>
      </c>
      <c r="G18" s="37">
        <v>75</v>
      </c>
      <c r="H18" s="37">
        <v>80</v>
      </c>
      <c r="I18" s="37">
        <v>1</v>
      </c>
      <c r="J18" s="38" t="s">
        <v>46</v>
      </c>
      <c r="K18" s="41">
        <v>14</v>
      </c>
      <c r="L18" s="37">
        <v>14.4</v>
      </c>
      <c r="M18" s="37">
        <v>14.8</v>
      </c>
      <c r="N18" s="37">
        <v>13.6</v>
      </c>
      <c r="P18" s="36" t="s">
        <v>34</v>
      </c>
      <c r="Q18" s="36">
        <f t="shared" si="0"/>
        <v>14.2744</v>
      </c>
      <c r="R18" s="37">
        <v>2250</v>
      </c>
      <c r="S18" s="38" t="s">
        <v>69</v>
      </c>
      <c r="T18" s="38" t="s">
        <v>70</v>
      </c>
    </row>
    <row r="19" spans="1:20" s="36" customFormat="1" ht="15" customHeight="1" x14ac:dyDescent="0.25">
      <c r="A19" s="34" t="s">
        <v>71</v>
      </c>
      <c r="B19" s="35">
        <v>45052</v>
      </c>
      <c r="C19" s="36" t="s">
        <v>21</v>
      </c>
      <c r="D19" s="38" t="s">
        <v>22</v>
      </c>
      <c r="E19" s="40">
        <v>86481</v>
      </c>
      <c r="F19" s="37">
        <v>86442</v>
      </c>
      <c r="G19" s="37">
        <v>76</v>
      </c>
      <c r="H19" s="37">
        <v>80</v>
      </c>
      <c r="I19" s="37">
        <v>3</v>
      </c>
      <c r="J19" s="38" t="s">
        <v>58</v>
      </c>
      <c r="K19" s="45">
        <v>10</v>
      </c>
      <c r="L19" s="37">
        <v>10.199999999999999</v>
      </c>
      <c r="M19" s="37">
        <v>10.9</v>
      </c>
      <c r="N19" s="37">
        <v>10.1</v>
      </c>
      <c r="P19" s="36" t="s">
        <v>34</v>
      </c>
      <c r="Q19" s="36">
        <f t="shared" si="0"/>
        <v>10.196000000000002</v>
      </c>
      <c r="R19" s="37">
        <v>2250</v>
      </c>
      <c r="S19" s="38" t="s">
        <v>72</v>
      </c>
      <c r="T19" s="38" t="s">
        <v>73</v>
      </c>
    </row>
    <row r="20" spans="1:20" s="48" customFormat="1" ht="16.5" thickBot="1" x14ac:dyDescent="0.3">
      <c r="A20" s="46" t="s">
        <v>74</v>
      </c>
      <c r="B20" s="47">
        <v>45089</v>
      </c>
      <c r="C20" s="48" t="s">
        <v>21</v>
      </c>
      <c r="D20" s="49" t="s">
        <v>22</v>
      </c>
      <c r="E20" s="48">
        <v>86481</v>
      </c>
      <c r="F20" s="50">
        <v>86441</v>
      </c>
      <c r="G20" s="50" t="s">
        <v>75</v>
      </c>
      <c r="H20" s="50">
        <v>80</v>
      </c>
      <c r="I20" s="48">
        <v>1</v>
      </c>
      <c r="J20" s="49" t="s">
        <v>46</v>
      </c>
      <c r="K20" s="48">
        <v>16</v>
      </c>
      <c r="L20" s="50">
        <v>16</v>
      </c>
      <c r="M20" s="50">
        <v>16.3</v>
      </c>
      <c r="N20" s="50">
        <v>15</v>
      </c>
      <c r="P20" s="48" t="s">
        <v>34</v>
      </c>
      <c r="Q20" s="48">
        <f t="shared" si="0"/>
        <v>16.313600000000001</v>
      </c>
      <c r="R20" s="50">
        <v>2250</v>
      </c>
      <c r="S20" s="49" t="s">
        <v>76</v>
      </c>
      <c r="T20" s="49" t="s">
        <v>77</v>
      </c>
    </row>
    <row r="21" spans="1:20" s="53" customFormat="1" x14ac:dyDescent="0.25">
      <c r="A21" s="51" t="s">
        <v>78</v>
      </c>
      <c r="B21" s="52">
        <v>45090</v>
      </c>
      <c r="C21" s="53" t="s">
        <v>21</v>
      </c>
      <c r="D21" s="54" t="s">
        <v>22</v>
      </c>
      <c r="E21" s="55">
        <v>86481</v>
      </c>
      <c r="F21" s="56">
        <v>86440</v>
      </c>
      <c r="G21" s="56">
        <v>74</v>
      </c>
      <c r="H21" s="56">
        <v>80</v>
      </c>
      <c r="I21" s="53">
        <v>1</v>
      </c>
      <c r="J21" s="54" t="s">
        <v>46</v>
      </c>
      <c r="K21" s="56">
        <v>16</v>
      </c>
      <c r="L21" s="56">
        <v>16.5</v>
      </c>
      <c r="M21" s="56">
        <v>15.8</v>
      </c>
      <c r="N21" s="56">
        <v>15</v>
      </c>
      <c r="P21" s="53" t="s">
        <v>34</v>
      </c>
      <c r="Q21" s="53">
        <f t="shared" si="0"/>
        <v>16.313600000000001</v>
      </c>
      <c r="R21" s="56">
        <v>2250</v>
      </c>
      <c r="S21" s="54" t="s">
        <v>79</v>
      </c>
      <c r="T21" s="54" t="s">
        <v>80</v>
      </c>
    </row>
    <row r="22" spans="1:20" s="36" customFormat="1" x14ac:dyDescent="0.25">
      <c r="A22" s="34" t="s">
        <v>81</v>
      </c>
      <c r="B22" s="35">
        <v>45092</v>
      </c>
      <c r="C22" s="36" t="s">
        <v>21</v>
      </c>
      <c r="D22" s="38" t="s">
        <v>22</v>
      </c>
      <c r="E22" s="40">
        <v>86481</v>
      </c>
      <c r="F22" s="37">
        <v>86461</v>
      </c>
      <c r="G22" s="37">
        <v>75</v>
      </c>
      <c r="H22" s="37">
        <v>80</v>
      </c>
      <c r="I22" s="37">
        <v>3</v>
      </c>
      <c r="J22" s="38" t="s">
        <v>58</v>
      </c>
      <c r="K22" s="38">
        <v>12</v>
      </c>
      <c r="L22" s="37">
        <v>12.6</v>
      </c>
      <c r="M22" s="37">
        <v>13</v>
      </c>
      <c r="N22" s="37">
        <v>12.5</v>
      </c>
      <c r="P22" s="36" t="s">
        <v>34</v>
      </c>
      <c r="Q22" s="36">
        <f t="shared" si="0"/>
        <v>12.235200000000001</v>
      </c>
      <c r="R22" s="37">
        <v>2250</v>
      </c>
      <c r="S22" s="38" t="s">
        <v>82</v>
      </c>
      <c r="T22" s="36" t="s">
        <v>83</v>
      </c>
    </row>
    <row r="23" spans="1:20" s="5" customFormat="1" ht="15" x14ac:dyDescent="0.25">
      <c r="A23" s="57" t="s">
        <v>84</v>
      </c>
      <c r="B23" s="13">
        <v>45098</v>
      </c>
      <c r="C23" s="58" t="s">
        <v>21</v>
      </c>
      <c r="D23" s="59" t="s">
        <v>22</v>
      </c>
      <c r="E23" s="5">
        <v>86481</v>
      </c>
      <c r="F23" s="5">
        <v>86439</v>
      </c>
      <c r="G23" s="7">
        <v>75</v>
      </c>
      <c r="H23" s="60" t="s">
        <v>85</v>
      </c>
      <c r="I23" s="61" t="s">
        <v>86</v>
      </c>
      <c r="J23" s="62" t="s">
        <v>86</v>
      </c>
      <c r="K23" s="8">
        <v>12</v>
      </c>
      <c r="L23" s="5">
        <v>12.3</v>
      </c>
      <c r="M23" s="5">
        <v>12.9</v>
      </c>
      <c r="N23" s="5">
        <v>12</v>
      </c>
      <c r="P23" s="58" t="s">
        <v>34</v>
      </c>
      <c r="Q23" s="58">
        <f t="shared" si="0"/>
        <v>12.235200000000001</v>
      </c>
      <c r="R23" s="60">
        <v>2250</v>
      </c>
      <c r="S23" s="63" t="s">
        <v>86</v>
      </c>
      <c r="T23" s="59" t="s">
        <v>87</v>
      </c>
    </row>
    <row r="24" spans="1:20" s="40" customFormat="1" x14ac:dyDescent="0.25">
      <c r="A24" s="64" t="s">
        <v>88</v>
      </c>
      <c r="B24" s="65">
        <v>45098</v>
      </c>
      <c r="C24" s="36" t="s">
        <v>21</v>
      </c>
      <c r="D24" s="38" t="s">
        <v>22</v>
      </c>
      <c r="E24" s="40">
        <v>86481</v>
      </c>
      <c r="F24" s="66">
        <v>86459</v>
      </c>
      <c r="G24" s="67" t="s">
        <v>89</v>
      </c>
      <c r="H24" s="43">
        <v>80</v>
      </c>
      <c r="I24" s="42">
        <v>2</v>
      </c>
      <c r="J24" s="68" t="s">
        <v>62</v>
      </c>
      <c r="K24" s="41">
        <v>14</v>
      </c>
      <c r="L24" s="40">
        <v>14.2</v>
      </c>
      <c r="M24" s="40">
        <v>14.2</v>
      </c>
      <c r="N24" s="40">
        <v>13</v>
      </c>
      <c r="P24" s="36" t="s">
        <v>34</v>
      </c>
      <c r="Q24" s="36">
        <f t="shared" si="0"/>
        <v>14.2744</v>
      </c>
      <c r="R24" s="37">
        <v>2250</v>
      </c>
      <c r="S24" s="69" t="s">
        <v>90</v>
      </c>
      <c r="T24" s="38" t="s">
        <v>91</v>
      </c>
    </row>
    <row r="25" spans="1:20" s="74" customFormat="1" ht="15" x14ac:dyDescent="0.25">
      <c r="A25" s="70" t="s">
        <v>92</v>
      </c>
      <c r="B25" s="71">
        <v>45100</v>
      </c>
      <c r="C25" s="72" t="s">
        <v>21</v>
      </c>
      <c r="D25" s="73" t="s">
        <v>29</v>
      </c>
      <c r="E25" s="74">
        <v>86481</v>
      </c>
      <c r="F25" s="74">
        <v>86494</v>
      </c>
      <c r="G25" s="75">
        <v>76</v>
      </c>
      <c r="H25" s="76">
        <v>80</v>
      </c>
      <c r="I25" s="74">
        <v>3</v>
      </c>
      <c r="J25" s="77" t="s">
        <v>93</v>
      </c>
      <c r="K25" s="73">
        <v>12</v>
      </c>
      <c r="L25" s="74">
        <v>13.2</v>
      </c>
      <c r="M25" s="74">
        <v>12.5</v>
      </c>
      <c r="N25" s="74">
        <v>12.1</v>
      </c>
      <c r="P25" s="72" t="s">
        <v>34</v>
      </c>
      <c r="Q25" s="72">
        <f t="shared" si="0"/>
        <v>12.235200000000001</v>
      </c>
      <c r="R25" s="75">
        <v>2250</v>
      </c>
      <c r="S25" s="77" t="s">
        <v>94</v>
      </c>
      <c r="T25" s="77" t="s">
        <v>95</v>
      </c>
    </row>
    <row r="26" spans="1:20" s="82" customFormat="1" ht="15" x14ac:dyDescent="0.25">
      <c r="A26" s="78" t="s">
        <v>96</v>
      </c>
      <c r="B26" s="79">
        <v>45104</v>
      </c>
      <c r="C26" s="80" t="s">
        <v>21</v>
      </c>
      <c r="D26" s="81" t="s">
        <v>29</v>
      </c>
      <c r="E26" s="82">
        <v>86481</v>
      </c>
      <c r="F26" s="83">
        <v>86517</v>
      </c>
      <c r="G26" s="80">
        <v>75</v>
      </c>
      <c r="H26" s="83">
        <v>80</v>
      </c>
      <c r="I26" s="82">
        <v>2</v>
      </c>
      <c r="J26" s="84" t="s">
        <v>97</v>
      </c>
      <c r="K26" s="80">
        <v>16</v>
      </c>
      <c r="L26" s="82">
        <v>17.100000000000001</v>
      </c>
      <c r="M26" s="82">
        <v>16.100000000000001</v>
      </c>
      <c r="N26" s="82">
        <v>15.8</v>
      </c>
      <c r="P26" s="80" t="s">
        <v>34</v>
      </c>
      <c r="Q26" s="80">
        <f t="shared" si="0"/>
        <v>16.313600000000001</v>
      </c>
      <c r="R26" s="82">
        <v>2250</v>
      </c>
      <c r="S26" s="82" t="s">
        <v>98</v>
      </c>
      <c r="T26" s="84" t="s">
        <v>99</v>
      </c>
    </row>
    <row r="27" spans="1:20" s="30" customFormat="1" x14ac:dyDescent="0.25">
      <c r="A27" s="85" t="s">
        <v>100</v>
      </c>
      <c r="B27" s="86">
        <v>45105</v>
      </c>
      <c r="C27" s="29" t="s">
        <v>21</v>
      </c>
      <c r="D27" s="32" t="s">
        <v>29</v>
      </c>
      <c r="E27" s="30">
        <v>86481</v>
      </c>
      <c r="F27" s="87">
        <v>86493</v>
      </c>
      <c r="G27" s="29">
        <v>75</v>
      </c>
      <c r="H27" s="87">
        <v>80</v>
      </c>
      <c r="I27" s="30">
        <v>2</v>
      </c>
      <c r="J27" s="88" t="s">
        <v>49</v>
      </c>
      <c r="K27" s="29">
        <v>16</v>
      </c>
      <c r="L27" s="30">
        <v>16.399999999999999</v>
      </c>
      <c r="M27" s="30">
        <v>15.6</v>
      </c>
      <c r="N27" s="30">
        <v>15</v>
      </c>
      <c r="P27" s="30" t="s">
        <v>34</v>
      </c>
      <c r="Q27" s="29">
        <f t="shared" si="0"/>
        <v>16.313600000000001</v>
      </c>
      <c r="R27" s="30">
        <v>2250</v>
      </c>
      <c r="S27" s="30" t="s">
        <v>101</v>
      </c>
      <c r="T27" s="89" t="s">
        <v>102</v>
      </c>
    </row>
    <row r="28" spans="1:20" s="30" customFormat="1" x14ac:dyDescent="0.25">
      <c r="A28" s="85" t="s">
        <v>103</v>
      </c>
      <c r="B28" s="86">
        <v>45107</v>
      </c>
      <c r="C28" s="30" t="s">
        <v>21</v>
      </c>
      <c r="D28" s="32" t="s">
        <v>29</v>
      </c>
      <c r="E28" s="30">
        <v>86481</v>
      </c>
      <c r="F28" s="87">
        <v>86503</v>
      </c>
      <c r="G28" s="30">
        <v>76</v>
      </c>
      <c r="H28" s="87">
        <v>80</v>
      </c>
      <c r="I28" s="30">
        <v>2</v>
      </c>
      <c r="J28" s="89" t="s">
        <v>49</v>
      </c>
      <c r="K28" s="90">
        <v>14</v>
      </c>
      <c r="L28" s="30">
        <v>14.7</v>
      </c>
      <c r="M28" s="30">
        <v>14</v>
      </c>
      <c r="N28" s="30">
        <v>13.6</v>
      </c>
      <c r="P28" s="30" t="s">
        <v>34</v>
      </c>
      <c r="Q28" s="29">
        <f t="shared" si="0"/>
        <v>14.2744</v>
      </c>
      <c r="R28" s="30">
        <v>2250</v>
      </c>
      <c r="S28" s="30" t="s">
        <v>104</v>
      </c>
      <c r="T28" s="89" t="s">
        <v>105</v>
      </c>
    </row>
    <row r="29" spans="1:20" s="93" customFormat="1" x14ac:dyDescent="0.25">
      <c r="A29" s="91" t="s">
        <v>106</v>
      </c>
      <c r="B29" s="92">
        <v>45111</v>
      </c>
      <c r="C29" s="93" t="s">
        <v>21</v>
      </c>
      <c r="D29" s="93" t="s">
        <v>22</v>
      </c>
      <c r="E29" s="93">
        <v>86481</v>
      </c>
      <c r="F29" s="94">
        <v>86445</v>
      </c>
      <c r="G29" s="93">
        <v>74</v>
      </c>
      <c r="H29" s="94">
        <v>80</v>
      </c>
      <c r="I29" s="93">
        <v>3</v>
      </c>
      <c r="J29" s="95" t="s">
        <v>58</v>
      </c>
      <c r="K29" s="96">
        <v>14</v>
      </c>
      <c r="L29" s="93">
        <v>14.7</v>
      </c>
      <c r="M29" s="93">
        <v>13.7</v>
      </c>
      <c r="N29" s="93" t="s">
        <v>107</v>
      </c>
      <c r="P29" s="93" t="s">
        <v>34</v>
      </c>
      <c r="Q29" s="93">
        <f t="shared" si="0"/>
        <v>14.2744</v>
      </c>
      <c r="R29" s="97">
        <v>3000</v>
      </c>
      <c r="S29" s="93" t="s">
        <v>108</v>
      </c>
      <c r="T29" s="95" t="s">
        <v>109</v>
      </c>
    </row>
    <row r="30" spans="1:20" s="93" customFormat="1" x14ac:dyDescent="0.25">
      <c r="A30" s="91" t="s">
        <v>110</v>
      </c>
      <c r="B30" s="92">
        <v>45112</v>
      </c>
      <c r="C30" s="93" t="s">
        <v>21</v>
      </c>
      <c r="D30" s="93" t="s">
        <v>22</v>
      </c>
      <c r="E30" s="93">
        <v>86481</v>
      </c>
      <c r="F30" s="94">
        <v>86457</v>
      </c>
      <c r="G30" s="93">
        <v>73</v>
      </c>
      <c r="H30" s="94">
        <v>80</v>
      </c>
      <c r="I30" s="93">
        <v>2</v>
      </c>
      <c r="J30" s="95" t="s">
        <v>62</v>
      </c>
      <c r="K30" s="93">
        <v>16</v>
      </c>
      <c r="L30" s="93">
        <v>17.2</v>
      </c>
      <c r="M30" s="93">
        <v>16.3</v>
      </c>
      <c r="N30" s="93" t="s">
        <v>111</v>
      </c>
      <c r="P30" s="93" t="s">
        <v>34</v>
      </c>
      <c r="Q30" s="93">
        <f t="shared" si="0"/>
        <v>16.313600000000001</v>
      </c>
      <c r="R30" s="97" t="s">
        <v>112</v>
      </c>
      <c r="S30" s="93" t="s">
        <v>113</v>
      </c>
      <c r="T30" s="95" t="s">
        <v>114</v>
      </c>
    </row>
    <row r="31" spans="1:20" s="74" customFormat="1" ht="15" x14ac:dyDescent="0.25">
      <c r="A31" s="70" t="s">
        <v>115</v>
      </c>
      <c r="B31" s="98">
        <v>45113</v>
      </c>
      <c r="C31" s="74" t="s">
        <v>21</v>
      </c>
      <c r="D31" s="73" t="s">
        <v>29</v>
      </c>
      <c r="E31" s="74">
        <v>86481</v>
      </c>
      <c r="F31" s="76">
        <v>86505</v>
      </c>
      <c r="G31" s="74">
        <v>76</v>
      </c>
      <c r="H31" s="76">
        <v>80</v>
      </c>
      <c r="I31" s="74">
        <v>3</v>
      </c>
      <c r="J31" s="77" t="s">
        <v>116</v>
      </c>
      <c r="K31" s="77">
        <v>12</v>
      </c>
      <c r="L31" s="74">
        <v>13.4</v>
      </c>
      <c r="M31" s="74">
        <v>12.5</v>
      </c>
      <c r="N31" s="74">
        <v>12.1</v>
      </c>
      <c r="P31" s="74" t="s">
        <v>34</v>
      </c>
      <c r="Q31" s="72">
        <f t="shared" si="0"/>
        <v>12.235200000000001</v>
      </c>
      <c r="R31" s="74">
        <v>2250</v>
      </c>
      <c r="S31" s="77" t="s">
        <v>117</v>
      </c>
      <c r="T31" s="77" t="s">
        <v>118</v>
      </c>
    </row>
    <row r="32" spans="1:20" s="101" customFormat="1" ht="16.5" thickBot="1" x14ac:dyDescent="0.3">
      <c r="A32" s="99" t="s">
        <v>119</v>
      </c>
      <c r="B32" s="100">
        <v>45114</v>
      </c>
      <c r="C32" s="101" t="s">
        <v>21</v>
      </c>
      <c r="D32" s="101" t="s">
        <v>29</v>
      </c>
      <c r="E32" s="101">
        <v>86481</v>
      </c>
      <c r="F32" s="101">
        <v>86504</v>
      </c>
      <c r="G32" s="101">
        <v>76</v>
      </c>
      <c r="H32" s="102" t="s">
        <v>39</v>
      </c>
      <c r="I32" s="101">
        <v>3</v>
      </c>
      <c r="J32" s="103" t="s">
        <v>116</v>
      </c>
      <c r="K32" s="104">
        <v>14</v>
      </c>
      <c r="L32" s="101">
        <v>14.8</v>
      </c>
      <c r="M32" s="101">
        <v>14.3</v>
      </c>
      <c r="N32" s="101">
        <v>13.8</v>
      </c>
      <c r="P32" s="101" t="s">
        <v>34</v>
      </c>
      <c r="Q32" s="105">
        <f t="shared" si="0"/>
        <v>14.2744</v>
      </c>
      <c r="R32" s="101">
        <v>2250</v>
      </c>
      <c r="S32" s="101" t="s">
        <v>120</v>
      </c>
      <c r="T32" s="103" t="s">
        <v>121</v>
      </c>
    </row>
    <row r="33" spans="1:20" s="108" customFormat="1" x14ac:dyDescent="0.25">
      <c r="A33" s="106" t="s">
        <v>122</v>
      </c>
      <c r="B33" s="107">
        <v>45121</v>
      </c>
      <c r="C33" s="108" t="s">
        <v>21</v>
      </c>
      <c r="D33" s="108" t="s">
        <v>22</v>
      </c>
      <c r="E33" s="108">
        <v>86481</v>
      </c>
      <c r="F33" s="108">
        <v>86454</v>
      </c>
      <c r="G33" s="108">
        <v>73</v>
      </c>
      <c r="H33" s="109">
        <v>80</v>
      </c>
      <c r="I33" s="108">
        <v>3</v>
      </c>
      <c r="J33" s="110" t="s">
        <v>58</v>
      </c>
      <c r="K33" s="111">
        <v>14</v>
      </c>
      <c r="L33" s="108">
        <v>15.1</v>
      </c>
      <c r="M33" s="108">
        <v>14.6</v>
      </c>
      <c r="N33" s="108">
        <v>13.5</v>
      </c>
      <c r="P33" s="108" t="s">
        <v>34</v>
      </c>
      <c r="Q33" s="108">
        <f t="shared" si="0"/>
        <v>14.2744</v>
      </c>
      <c r="R33" s="108">
        <v>4000</v>
      </c>
      <c r="S33" s="108" t="s">
        <v>123</v>
      </c>
      <c r="T33" s="110" t="s">
        <v>124</v>
      </c>
    </row>
    <row r="34" spans="1:20" s="114" customFormat="1" x14ac:dyDescent="0.25">
      <c r="A34" s="112" t="s">
        <v>125</v>
      </c>
      <c r="B34" s="113">
        <v>45124</v>
      </c>
      <c r="C34" s="114" t="s">
        <v>21</v>
      </c>
      <c r="D34" s="114" t="s">
        <v>22</v>
      </c>
      <c r="E34" s="114">
        <v>86481</v>
      </c>
      <c r="F34" s="114">
        <v>86437</v>
      </c>
      <c r="G34" s="114">
        <v>76</v>
      </c>
      <c r="H34" s="115">
        <v>80</v>
      </c>
      <c r="I34" s="114" t="s">
        <v>126</v>
      </c>
      <c r="J34" s="116" t="s">
        <v>62</v>
      </c>
      <c r="K34" s="117">
        <v>14</v>
      </c>
      <c r="L34" s="114">
        <v>15.1</v>
      </c>
      <c r="M34" s="114" t="s">
        <v>127</v>
      </c>
      <c r="N34" s="114" t="s">
        <v>128</v>
      </c>
      <c r="P34" s="114" t="s">
        <v>34</v>
      </c>
      <c r="Q34" s="114">
        <f t="shared" si="0"/>
        <v>14.2744</v>
      </c>
      <c r="R34" s="114">
        <v>1000</v>
      </c>
      <c r="S34" s="114" t="s">
        <v>129</v>
      </c>
      <c r="T34" s="116" t="s">
        <v>277</v>
      </c>
    </row>
    <row r="35" spans="1:20" s="121" customFormat="1" x14ac:dyDescent="0.25">
      <c r="A35" s="118" t="s">
        <v>130</v>
      </c>
      <c r="B35" s="119">
        <v>45127</v>
      </c>
      <c r="C35" s="120" t="s">
        <v>21</v>
      </c>
      <c r="D35" s="120" t="s">
        <v>22</v>
      </c>
      <c r="E35" s="120">
        <v>86481</v>
      </c>
      <c r="F35" s="121">
        <v>86452</v>
      </c>
      <c r="G35" s="121">
        <v>73</v>
      </c>
      <c r="H35" s="122">
        <v>80</v>
      </c>
      <c r="I35" s="123">
        <v>3</v>
      </c>
      <c r="J35" s="124" t="s">
        <v>58</v>
      </c>
      <c r="K35" s="125">
        <v>14</v>
      </c>
      <c r="L35" s="121">
        <v>15.2</v>
      </c>
      <c r="M35" s="121">
        <v>14.7</v>
      </c>
      <c r="N35" s="121">
        <v>14</v>
      </c>
      <c r="P35" s="121" t="s">
        <v>34</v>
      </c>
      <c r="Q35" s="121">
        <f t="shared" si="0"/>
        <v>14.2744</v>
      </c>
      <c r="R35" s="121">
        <v>4000</v>
      </c>
      <c r="S35" s="121" t="s">
        <v>131</v>
      </c>
      <c r="T35" s="126" t="s">
        <v>132</v>
      </c>
    </row>
    <row r="36" spans="1:20" s="114" customFormat="1" ht="13.5" customHeight="1" x14ac:dyDescent="0.25">
      <c r="A36" s="112" t="s">
        <v>133</v>
      </c>
      <c r="B36" s="113">
        <v>45128</v>
      </c>
      <c r="C36" s="114" t="s">
        <v>21</v>
      </c>
      <c r="D36" s="114" t="s">
        <v>22</v>
      </c>
      <c r="E36" s="114">
        <v>86481</v>
      </c>
      <c r="F36" s="127" t="s">
        <v>134</v>
      </c>
      <c r="G36" s="114">
        <v>76</v>
      </c>
      <c r="H36" s="115">
        <v>80</v>
      </c>
      <c r="I36" s="114" t="s">
        <v>135</v>
      </c>
      <c r="J36" s="116" t="s">
        <v>135</v>
      </c>
      <c r="K36" s="117">
        <v>14</v>
      </c>
      <c r="L36" s="114">
        <v>14.7</v>
      </c>
      <c r="M36" s="114" t="s">
        <v>136</v>
      </c>
      <c r="N36" s="114" t="s">
        <v>137</v>
      </c>
      <c r="P36" s="114" t="s">
        <v>34</v>
      </c>
      <c r="Q36" s="114">
        <f t="shared" si="0"/>
        <v>14.2744</v>
      </c>
      <c r="R36" s="114">
        <v>1000</v>
      </c>
      <c r="S36" s="114" t="s">
        <v>138</v>
      </c>
      <c r="T36" s="114" t="s">
        <v>139</v>
      </c>
    </row>
    <row r="37" spans="1:20" s="30" customFormat="1" ht="13.5" customHeight="1" x14ac:dyDescent="0.25">
      <c r="A37" s="85" t="s">
        <v>140</v>
      </c>
      <c r="B37" s="86">
        <v>45135</v>
      </c>
      <c r="C37" s="30" t="s">
        <v>21</v>
      </c>
      <c r="D37" s="30" t="s">
        <v>29</v>
      </c>
      <c r="E37" s="30">
        <v>86481</v>
      </c>
      <c r="F37" s="128">
        <v>86503</v>
      </c>
      <c r="G37" s="30">
        <v>76</v>
      </c>
      <c r="H37" s="87">
        <v>80</v>
      </c>
      <c r="I37" s="30">
        <v>3</v>
      </c>
      <c r="J37" s="89" t="s">
        <v>116</v>
      </c>
      <c r="K37" s="90">
        <v>14</v>
      </c>
      <c r="L37" s="30">
        <v>14.9</v>
      </c>
      <c r="M37" s="30">
        <v>14.3</v>
      </c>
      <c r="N37" s="30">
        <v>13.8</v>
      </c>
      <c r="P37" s="30" t="s">
        <v>34</v>
      </c>
      <c r="Q37" s="30">
        <f t="shared" si="0"/>
        <v>14.2744</v>
      </c>
      <c r="R37" s="30">
        <v>2250</v>
      </c>
      <c r="S37" s="30" t="s">
        <v>141</v>
      </c>
      <c r="T37" s="89" t="s">
        <v>142</v>
      </c>
    </row>
    <row r="38" spans="1:20" s="30" customFormat="1" ht="24.75" customHeight="1" x14ac:dyDescent="0.25">
      <c r="A38" s="85" t="s">
        <v>143</v>
      </c>
      <c r="B38" s="86">
        <v>45141</v>
      </c>
      <c r="C38" s="30" t="s">
        <v>21</v>
      </c>
      <c r="D38" s="30" t="s">
        <v>29</v>
      </c>
      <c r="E38" s="30">
        <v>86481</v>
      </c>
      <c r="F38" s="30">
        <v>86499</v>
      </c>
      <c r="G38" s="30">
        <v>75</v>
      </c>
      <c r="H38" s="30">
        <v>80</v>
      </c>
      <c r="I38" s="30">
        <v>3</v>
      </c>
      <c r="J38" s="89" t="s">
        <v>144</v>
      </c>
      <c r="K38" s="31">
        <v>16</v>
      </c>
      <c r="L38" s="30">
        <v>17.5</v>
      </c>
      <c r="M38" s="30">
        <v>16.7</v>
      </c>
      <c r="N38" s="30">
        <v>16.3</v>
      </c>
      <c r="P38" s="30" t="s">
        <v>34</v>
      </c>
      <c r="Q38" s="29">
        <f t="shared" si="0"/>
        <v>16.313600000000001</v>
      </c>
      <c r="R38" s="30">
        <v>2250</v>
      </c>
      <c r="S38" s="30" t="s">
        <v>145</v>
      </c>
      <c r="T38" s="30" t="s">
        <v>146</v>
      </c>
    </row>
    <row r="39" spans="1:20" s="30" customFormat="1" x14ac:dyDescent="0.25">
      <c r="A39" s="85" t="s">
        <v>147</v>
      </c>
      <c r="B39" s="86">
        <v>45145</v>
      </c>
      <c r="C39" s="30" t="s">
        <v>21</v>
      </c>
      <c r="D39" s="30" t="s">
        <v>29</v>
      </c>
      <c r="E39" s="30">
        <v>86481</v>
      </c>
      <c r="F39" s="30">
        <v>86501</v>
      </c>
      <c r="G39" s="29">
        <v>75</v>
      </c>
      <c r="H39" s="87">
        <v>80</v>
      </c>
      <c r="I39" s="30">
        <v>3</v>
      </c>
      <c r="J39" s="89" t="s">
        <v>144</v>
      </c>
      <c r="K39" s="33">
        <v>18</v>
      </c>
      <c r="L39" s="30">
        <v>19.399999999999999</v>
      </c>
      <c r="M39" s="30">
        <v>18</v>
      </c>
      <c r="N39" s="30">
        <v>17.399999999999999</v>
      </c>
      <c r="P39" s="30" t="s">
        <v>34</v>
      </c>
      <c r="Q39" s="30">
        <f t="shared" si="0"/>
        <v>18.352800000000002</v>
      </c>
      <c r="R39" s="30">
        <v>2250</v>
      </c>
      <c r="S39" s="30" t="s">
        <v>148</v>
      </c>
      <c r="T39" s="89" t="s">
        <v>149</v>
      </c>
    </row>
    <row r="40" spans="1:20" s="40" customFormat="1" x14ac:dyDescent="0.25">
      <c r="A40" s="64" t="s">
        <v>150</v>
      </c>
      <c r="B40" s="129">
        <v>45146</v>
      </c>
      <c r="C40" s="40" t="s">
        <v>21</v>
      </c>
      <c r="D40" s="40" t="s">
        <v>22</v>
      </c>
      <c r="E40" s="40">
        <v>86481</v>
      </c>
      <c r="F40" s="40">
        <v>86463</v>
      </c>
      <c r="G40" s="40">
        <v>74</v>
      </c>
      <c r="H40" s="130">
        <v>80</v>
      </c>
      <c r="I40" s="40">
        <v>3</v>
      </c>
      <c r="J40" s="38" t="s">
        <v>58</v>
      </c>
      <c r="K40" s="131">
        <v>14</v>
      </c>
      <c r="L40" s="40">
        <v>14.7</v>
      </c>
      <c r="M40" s="40" t="s">
        <v>151</v>
      </c>
      <c r="N40" s="40">
        <v>13</v>
      </c>
      <c r="P40" s="40" t="s">
        <v>34</v>
      </c>
      <c r="Q40" s="40">
        <f t="shared" si="0"/>
        <v>14.2744</v>
      </c>
      <c r="R40" s="132">
        <v>3000</v>
      </c>
      <c r="S40" s="40" t="s">
        <v>152</v>
      </c>
      <c r="T40" s="69" t="s">
        <v>153</v>
      </c>
    </row>
    <row r="41" spans="1:20" s="40" customFormat="1" x14ac:dyDescent="0.25">
      <c r="A41" s="64" t="s">
        <v>154</v>
      </c>
      <c r="B41" s="129">
        <v>45149</v>
      </c>
      <c r="C41" s="40" t="s">
        <v>21</v>
      </c>
      <c r="D41" s="40" t="s">
        <v>22</v>
      </c>
      <c r="E41" s="40">
        <v>86481</v>
      </c>
      <c r="F41" s="40">
        <v>86474</v>
      </c>
      <c r="G41" s="40">
        <v>76</v>
      </c>
      <c r="H41" s="40">
        <v>80</v>
      </c>
      <c r="I41" s="40">
        <v>3</v>
      </c>
      <c r="J41" s="38" t="s">
        <v>58</v>
      </c>
      <c r="K41" s="133">
        <v>8</v>
      </c>
      <c r="L41" s="40">
        <v>9.1</v>
      </c>
      <c r="M41" s="40">
        <v>9</v>
      </c>
      <c r="N41" s="40">
        <v>8.3000000000000007</v>
      </c>
      <c r="P41" s="40" t="s">
        <v>34</v>
      </c>
      <c r="Q41" s="36">
        <f t="shared" si="0"/>
        <v>8.1568000000000005</v>
      </c>
      <c r="R41" s="40">
        <v>2250</v>
      </c>
      <c r="S41" s="40" t="s">
        <v>155</v>
      </c>
      <c r="T41" s="69" t="s">
        <v>156</v>
      </c>
    </row>
    <row r="42" spans="1:20" s="40" customFormat="1" x14ac:dyDescent="0.25">
      <c r="A42" s="40" t="s">
        <v>157</v>
      </c>
      <c r="B42" s="129">
        <v>45186</v>
      </c>
      <c r="C42" s="40" t="s">
        <v>21</v>
      </c>
      <c r="D42" s="40" t="s">
        <v>22</v>
      </c>
      <c r="E42" s="40">
        <v>86481</v>
      </c>
      <c r="F42" s="40">
        <v>86472</v>
      </c>
      <c r="G42" s="40">
        <v>76</v>
      </c>
      <c r="H42" s="40">
        <v>80</v>
      </c>
      <c r="I42" s="37">
        <v>3</v>
      </c>
      <c r="J42" s="38" t="s">
        <v>58</v>
      </c>
      <c r="K42" s="45">
        <v>10</v>
      </c>
      <c r="L42" s="37">
        <v>10.199999999999999</v>
      </c>
      <c r="M42" s="37">
        <v>10.4</v>
      </c>
      <c r="N42" s="37">
        <v>9.8000000000000007</v>
      </c>
      <c r="O42" s="36"/>
      <c r="P42" s="36" t="s">
        <v>34</v>
      </c>
      <c r="Q42" s="36">
        <f t="shared" si="0"/>
        <v>10.196000000000002</v>
      </c>
      <c r="R42" s="37">
        <v>2250</v>
      </c>
      <c r="S42" s="40" t="s">
        <v>158</v>
      </c>
      <c r="T42" s="69" t="s">
        <v>159</v>
      </c>
    </row>
    <row r="43" spans="1:20" s="82" customFormat="1" ht="15" x14ac:dyDescent="0.25">
      <c r="A43" s="78" t="s">
        <v>160</v>
      </c>
      <c r="B43" s="79">
        <v>45193</v>
      </c>
      <c r="C43" s="80" t="s">
        <v>21</v>
      </c>
      <c r="D43" s="81" t="s">
        <v>29</v>
      </c>
      <c r="E43" s="82">
        <v>86481</v>
      </c>
      <c r="F43" s="83">
        <v>86516</v>
      </c>
      <c r="G43" s="80">
        <v>76</v>
      </c>
      <c r="H43" s="83">
        <v>80</v>
      </c>
      <c r="I43" s="82">
        <v>3</v>
      </c>
      <c r="J43" s="84" t="s">
        <v>161</v>
      </c>
      <c r="K43" s="80">
        <v>12</v>
      </c>
      <c r="L43" s="82">
        <v>13</v>
      </c>
      <c r="M43" s="82">
        <v>12.3</v>
      </c>
      <c r="N43" s="82">
        <v>11.8</v>
      </c>
      <c r="P43" s="80" t="s">
        <v>34</v>
      </c>
      <c r="Q43" s="80">
        <f>K43*1.0196</f>
        <v>12.235200000000001</v>
      </c>
      <c r="R43" s="82">
        <v>2250</v>
      </c>
      <c r="S43" s="82">
        <v>47883135</v>
      </c>
      <c r="T43" s="84" t="s">
        <v>162</v>
      </c>
    </row>
    <row r="44" spans="1:20" s="134" customFormat="1" ht="16.5" thickBot="1" x14ac:dyDescent="0.3">
      <c r="A44" s="40" t="s">
        <v>163</v>
      </c>
      <c r="B44" s="129"/>
      <c r="C44" s="36" t="s">
        <v>21</v>
      </c>
      <c r="D44" s="38" t="s">
        <v>22</v>
      </c>
      <c r="E44" s="40">
        <v>86481</v>
      </c>
      <c r="F44" s="37">
        <v>86471</v>
      </c>
      <c r="G44" s="36">
        <v>74</v>
      </c>
      <c r="H44" s="37">
        <v>80</v>
      </c>
      <c r="I44" s="37"/>
      <c r="J44" s="38"/>
      <c r="K44" s="37">
        <v>16</v>
      </c>
      <c r="L44" s="40">
        <v>17.3</v>
      </c>
      <c r="M44" s="40">
        <v>16</v>
      </c>
      <c r="N44" s="40">
        <v>15</v>
      </c>
      <c r="O44" s="40"/>
      <c r="P44" s="40" t="s">
        <v>34</v>
      </c>
      <c r="Q44" s="36">
        <f t="shared" si="0"/>
        <v>16.313600000000001</v>
      </c>
      <c r="R44" s="40">
        <v>2250</v>
      </c>
      <c r="S44" s="38"/>
      <c r="T44" s="69" t="s">
        <v>164</v>
      </c>
    </row>
    <row r="45" spans="1:20" s="36" customFormat="1" x14ac:dyDescent="0.25">
      <c r="A45" s="36" t="s">
        <v>165</v>
      </c>
      <c r="B45" s="35"/>
      <c r="C45" s="36" t="s">
        <v>21</v>
      </c>
      <c r="D45" s="36" t="s">
        <v>22</v>
      </c>
      <c r="E45" s="36">
        <v>86481</v>
      </c>
      <c r="G45" s="36">
        <v>74</v>
      </c>
      <c r="H45" s="37">
        <v>80</v>
      </c>
      <c r="J45" s="38"/>
      <c r="K45" s="39">
        <v>18</v>
      </c>
      <c r="P45" s="36" t="s">
        <v>34</v>
      </c>
      <c r="Q45" s="36">
        <f t="shared" si="0"/>
        <v>18.352800000000002</v>
      </c>
      <c r="R45" s="40">
        <v>2250</v>
      </c>
      <c r="T45" s="38"/>
    </row>
    <row r="46" spans="1:20" s="114" customFormat="1" x14ac:dyDescent="0.25">
      <c r="A46" s="114" t="s">
        <v>166</v>
      </c>
      <c r="B46" s="113"/>
      <c r="C46" s="114" t="s">
        <v>21</v>
      </c>
      <c r="D46" s="114" t="s">
        <v>22</v>
      </c>
      <c r="E46" s="114">
        <v>86481</v>
      </c>
      <c r="F46" s="127"/>
      <c r="G46" s="114">
        <v>76</v>
      </c>
      <c r="H46" s="115">
        <v>80</v>
      </c>
      <c r="J46" s="116"/>
      <c r="K46" s="117">
        <v>14</v>
      </c>
      <c r="P46" s="114" t="s">
        <v>34</v>
      </c>
      <c r="Q46" s="114">
        <f>K46*1.0196</f>
        <v>14.2744</v>
      </c>
      <c r="R46" s="114">
        <v>1000</v>
      </c>
      <c r="T46" s="116"/>
    </row>
    <row r="47" spans="1:20" s="135" customFormat="1" x14ac:dyDescent="0.25">
      <c r="A47" s="135" t="s">
        <v>167</v>
      </c>
      <c r="B47" s="136"/>
      <c r="C47" s="135" t="s">
        <v>21</v>
      </c>
      <c r="E47" s="135">
        <v>86481</v>
      </c>
      <c r="H47" s="135">
        <v>80</v>
      </c>
      <c r="K47" s="137"/>
      <c r="P47" s="135" t="s">
        <v>34</v>
      </c>
      <c r="Q47" s="138">
        <f>K47*1.0196</f>
        <v>0</v>
      </c>
      <c r="T47" s="139"/>
    </row>
    <row r="48" spans="1:20" s="135" customFormat="1" x14ac:dyDescent="0.25">
      <c r="A48" s="135" t="s">
        <v>168</v>
      </c>
      <c r="B48" s="136"/>
      <c r="C48" s="135" t="s">
        <v>21</v>
      </c>
      <c r="E48" s="135">
        <v>86481</v>
      </c>
      <c r="H48" s="135">
        <v>80</v>
      </c>
      <c r="K48" s="137"/>
      <c r="P48" s="135" t="s">
        <v>34</v>
      </c>
      <c r="Q48" s="138">
        <f>K48*1.0196</f>
        <v>0</v>
      </c>
      <c r="T48" s="139"/>
    </row>
    <row r="49" spans="1:20" s="135" customFormat="1" ht="15" customHeight="1" x14ac:dyDescent="0.25">
      <c r="A49" s="135" t="s">
        <v>169</v>
      </c>
      <c r="B49" s="136"/>
      <c r="C49" s="135" t="s">
        <v>21</v>
      </c>
      <c r="E49" s="135">
        <v>86481</v>
      </c>
      <c r="G49" s="138"/>
      <c r="H49" s="140">
        <v>80</v>
      </c>
      <c r="J49" s="141"/>
      <c r="P49" s="135" t="s">
        <v>34</v>
      </c>
      <c r="Q49" s="135">
        <f t="shared" ref="Q49:Q85" si="1">K49*1.0196</f>
        <v>0</v>
      </c>
      <c r="T49" s="139"/>
    </row>
    <row r="50" spans="1:20" s="135" customFormat="1" ht="15" customHeight="1" x14ac:dyDescent="0.25">
      <c r="A50" s="135" t="s">
        <v>170</v>
      </c>
      <c r="B50" s="136"/>
      <c r="C50" s="135" t="s">
        <v>21</v>
      </c>
      <c r="E50" s="135">
        <v>86481</v>
      </c>
      <c r="H50" s="140">
        <v>80</v>
      </c>
      <c r="J50" s="139"/>
      <c r="K50" s="139"/>
      <c r="P50" s="135" t="s">
        <v>34</v>
      </c>
      <c r="Q50" s="135">
        <f t="shared" si="1"/>
        <v>0</v>
      </c>
      <c r="R50" s="142"/>
      <c r="T50" s="139"/>
    </row>
    <row r="51" spans="1:20" s="135" customFormat="1" x14ac:dyDescent="0.25">
      <c r="A51" s="135" t="s">
        <v>171</v>
      </c>
      <c r="B51" s="136">
        <v>46094</v>
      </c>
      <c r="C51" s="135" t="s">
        <v>172</v>
      </c>
      <c r="D51" s="135" t="s">
        <v>22</v>
      </c>
      <c r="E51" s="135">
        <v>95919</v>
      </c>
      <c r="F51" s="135">
        <v>86466</v>
      </c>
      <c r="G51" s="135" t="s">
        <v>86</v>
      </c>
      <c r="H51" s="135" t="s">
        <v>173</v>
      </c>
      <c r="J51" s="135" t="s">
        <v>174</v>
      </c>
      <c r="K51" s="137">
        <v>7.9</v>
      </c>
      <c r="L51" s="135">
        <v>7.2</v>
      </c>
      <c r="M51" s="135">
        <v>7.8</v>
      </c>
      <c r="N51" s="135">
        <v>7.5</v>
      </c>
      <c r="P51" s="135" t="s">
        <v>34</v>
      </c>
      <c r="Q51" s="138">
        <f t="shared" si="1"/>
        <v>8.0548400000000004</v>
      </c>
      <c r="R51" s="135">
        <v>1945</v>
      </c>
      <c r="T51" s="139" t="s">
        <v>175</v>
      </c>
    </row>
    <row r="52" spans="1:20" s="135" customFormat="1" x14ac:dyDescent="0.25">
      <c r="A52" s="135" t="s">
        <v>176</v>
      </c>
      <c r="B52" s="136">
        <v>46104</v>
      </c>
      <c r="C52" s="135" t="s">
        <v>172</v>
      </c>
      <c r="D52" s="135" t="s">
        <v>22</v>
      </c>
      <c r="E52" s="135">
        <v>95919</v>
      </c>
      <c r="F52" s="135">
        <v>95876</v>
      </c>
      <c r="G52" s="135" t="s">
        <v>86</v>
      </c>
      <c r="H52" s="135" t="s">
        <v>173</v>
      </c>
      <c r="J52" s="135" t="s">
        <v>174</v>
      </c>
      <c r="K52" s="137">
        <v>7.9</v>
      </c>
      <c r="L52" s="135">
        <v>7.4</v>
      </c>
      <c r="M52" s="135">
        <v>7.8</v>
      </c>
      <c r="N52" s="135">
        <v>7.3</v>
      </c>
      <c r="P52" s="135" t="s">
        <v>34</v>
      </c>
      <c r="Q52" s="138">
        <f t="shared" si="1"/>
        <v>8.0548400000000004</v>
      </c>
      <c r="R52" s="135">
        <v>1945</v>
      </c>
      <c r="T52" s="139" t="s">
        <v>177</v>
      </c>
    </row>
    <row r="53" spans="1:20" s="135" customFormat="1" x14ac:dyDescent="0.25">
      <c r="A53" s="135" t="s">
        <v>178</v>
      </c>
      <c r="B53" s="136">
        <v>46106</v>
      </c>
      <c r="C53" s="135" t="s">
        <v>172</v>
      </c>
      <c r="D53" s="135" t="s">
        <v>22</v>
      </c>
      <c r="E53" s="135">
        <v>95919</v>
      </c>
      <c r="F53" s="135">
        <v>95872</v>
      </c>
      <c r="G53" s="135" t="s">
        <v>86</v>
      </c>
      <c r="H53" s="135" t="s">
        <v>173</v>
      </c>
      <c r="J53" s="135" t="s">
        <v>174</v>
      </c>
      <c r="K53" s="137">
        <v>7.9</v>
      </c>
      <c r="L53" s="135">
        <v>7.4</v>
      </c>
      <c r="M53" s="135">
        <v>8</v>
      </c>
      <c r="N53" s="135">
        <v>7.6</v>
      </c>
      <c r="P53" s="135" t="s">
        <v>34</v>
      </c>
      <c r="Q53" s="138">
        <f t="shared" si="1"/>
        <v>8.0548400000000004</v>
      </c>
      <c r="R53" s="135">
        <v>1945</v>
      </c>
      <c r="T53" s="139" t="s">
        <v>179</v>
      </c>
    </row>
    <row r="54" spans="1:20" s="135" customFormat="1" x14ac:dyDescent="0.25">
      <c r="A54" s="135" t="s">
        <v>180</v>
      </c>
      <c r="B54" s="136">
        <v>46127</v>
      </c>
      <c r="C54" s="135" t="s">
        <v>172</v>
      </c>
      <c r="D54" s="135" t="s">
        <v>181</v>
      </c>
      <c r="E54" s="135">
        <v>95919</v>
      </c>
      <c r="F54" s="135">
        <v>95873</v>
      </c>
      <c r="G54" s="138">
        <v>75</v>
      </c>
      <c r="H54" s="140">
        <v>80</v>
      </c>
      <c r="J54" s="141"/>
      <c r="K54" s="135">
        <v>9.8000000000000007</v>
      </c>
      <c r="L54" s="135">
        <v>8.9</v>
      </c>
      <c r="M54" s="135">
        <v>10.7</v>
      </c>
      <c r="N54" s="135">
        <v>10.3</v>
      </c>
      <c r="P54" s="135" t="s">
        <v>34</v>
      </c>
      <c r="Q54" s="135">
        <f t="shared" si="1"/>
        <v>9.9920800000000014</v>
      </c>
      <c r="R54" s="135">
        <v>3058</v>
      </c>
      <c r="S54" s="135" t="s">
        <v>182</v>
      </c>
      <c r="T54" s="139" t="s">
        <v>183</v>
      </c>
    </row>
    <row r="55" spans="1:20" s="135" customFormat="1" x14ac:dyDescent="0.25">
      <c r="A55" s="135" t="s">
        <v>184</v>
      </c>
      <c r="B55" s="136"/>
      <c r="C55" s="135" t="s">
        <v>172</v>
      </c>
      <c r="E55" s="135">
        <v>95919</v>
      </c>
      <c r="H55" s="140">
        <v>80</v>
      </c>
      <c r="J55" s="139"/>
      <c r="K55" s="139"/>
      <c r="P55" s="135" t="s">
        <v>34</v>
      </c>
      <c r="Q55" s="135">
        <f t="shared" si="1"/>
        <v>0</v>
      </c>
      <c r="R55" s="142"/>
      <c r="T55" s="139" t="s">
        <v>108</v>
      </c>
    </row>
    <row r="56" spans="1:20" s="135" customFormat="1" x14ac:dyDescent="0.25">
      <c r="A56" s="135" t="s">
        <v>185</v>
      </c>
      <c r="B56" s="136"/>
      <c r="C56" s="135" t="s">
        <v>172</v>
      </c>
      <c r="E56" s="135">
        <v>95919</v>
      </c>
      <c r="H56" s="135">
        <v>80</v>
      </c>
      <c r="K56" s="137"/>
      <c r="P56" s="135" t="s">
        <v>34</v>
      </c>
      <c r="Q56" s="138">
        <f t="shared" si="1"/>
        <v>0</v>
      </c>
      <c r="T56" s="139"/>
    </row>
    <row r="57" spans="1:20" s="135" customFormat="1" x14ac:dyDescent="0.25">
      <c r="A57" s="135" t="s">
        <v>186</v>
      </c>
      <c r="B57" s="136"/>
      <c r="C57" s="135" t="s">
        <v>172</v>
      </c>
      <c r="E57" s="135">
        <v>95919</v>
      </c>
      <c r="H57" s="135">
        <v>80</v>
      </c>
      <c r="K57" s="137"/>
      <c r="P57" s="135" t="s">
        <v>34</v>
      </c>
      <c r="Q57" s="138">
        <f t="shared" si="1"/>
        <v>0</v>
      </c>
      <c r="T57" s="139"/>
    </row>
    <row r="58" spans="1:20" s="135" customFormat="1" x14ac:dyDescent="0.25">
      <c r="A58" s="135" t="s">
        <v>187</v>
      </c>
      <c r="B58" s="136"/>
      <c r="C58" s="135" t="s">
        <v>172</v>
      </c>
      <c r="E58" s="135">
        <v>95919</v>
      </c>
      <c r="H58" s="135">
        <v>80</v>
      </c>
      <c r="K58" s="137"/>
      <c r="P58" s="135" t="s">
        <v>34</v>
      </c>
      <c r="Q58" s="138">
        <f t="shared" si="1"/>
        <v>0</v>
      </c>
      <c r="T58" s="139"/>
    </row>
    <row r="59" spans="1:20" s="135" customFormat="1" x14ac:dyDescent="0.25">
      <c r="A59" s="135" t="s">
        <v>188</v>
      </c>
      <c r="B59" s="136"/>
      <c r="C59" s="135" t="s">
        <v>172</v>
      </c>
      <c r="E59" s="135">
        <v>95919</v>
      </c>
      <c r="G59" s="138"/>
      <c r="H59" s="140">
        <v>80</v>
      </c>
      <c r="J59" s="141"/>
      <c r="P59" s="135" t="s">
        <v>34</v>
      </c>
      <c r="Q59" s="135">
        <f t="shared" si="1"/>
        <v>0</v>
      </c>
      <c r="T59" s="139"/>
    </row>
    <row r="60" spans="1:20" s="135" customFormat="1" x14ac:dyDescent="0.25">
      <c r="A60" s="135" t="s">
        <v>189</v>
      </c>
      <c r="B60" s="136"/>
      <c r="C60" s="135" t="s">
        <v>172</v>
      </c>
      <c r="E60" s="135">
        <v>95919</v>
      </c>
      <c r="H60" s="140">
        <v>80</v>
      </c>
      <c r="J60" s="139"/>
      <c r="K60" s="139"/>
      <c r="P60" s="135" t="s">
        <v>34</v>
      </c>
      <c r="Q60" s="135">
        <f t="shared" si="1"/>
        <v>0</v>
      </c>
      <c r="R60" s="142"/>
      <c r="T60" s="139"/>
    </row>
    <row r="61" spans="1:20" s="135" customFormat="1" x14ac:dyDescent="0.25">
      <c r="A61" s="135" t="s">
        <v>190</v>
      </c>
      <c r="B61" s="136"/>
      <c r="C61" s="135" t="s">
        <v>172</v>
      </c>
      <c r="E61" s="135">
        <v>95919</v>
      </c>
      <c r="H61" s="135">
        <v>80</v>
      </c>
      <c r="K61" s="137"/>
      <c r="P61" s="135" t="s">
        <v>34</v>
      </c>
      <c r="Q61" s="138">
        <f t="shared" si="1"/>
        <v>0</v>
      </c>
      <c r="T61" s="139"/>
    </row>
    <row r="62" spans="1:20" s="135" customFormat="1" x14ac:dyDescent="0.25">
      <c r="A62" s="135" t="s">
        <v>191</v>
      </c>
      <c r="B62" s="136"/>
      <c r="C62" s="135" t="s">
        <v>172</v>
      </c>
      <c r="E62" s="135">
        <v>95919</v>
      </c>
      <c r="H62" s="135">
        <v>80</v>
      </c>
      <c r="K62" s="137"/>
      <c r="P62" s="135" t="s">
        <v>34</v>
      </c>
      <c r="Q62" s="138">
        <f t="shared" si="1"/>
        <v>0</v>
      </c>
      <c r="T62" s="139"/>
    </row>
    <row r="63" spans="1:20" s="135" customFormat="1" x14ac:dyDescent="0.25">
      <c r="A63" s="135" t="s">
        <v>192</v>
      </c>
      <c r="B63" s="136"/>
      <c r="C63" s="135" t="s">
        <v>172</v>
      </c>
      <c r="E63" s="135">
        <v>95919</v>
      </c>
      <c r="H63" s="135">
        <v>80</v>
      </c>
      <c r="K63" s="137"/>
      <c r="P63" s="135" t="s">
        <v>34</v>
      </c>
      <c r="Q63" s="138">
        <f t="shared" si="1"/>
        <v>0</v>
      </c>
      <c r="T63" s="139"/>
    </row>
    <row r="64" spans="1:20" s="143" customFormat="1" x14ac:dyDescent="0.25">
      <c r="A64" s="135" t="s">
        <v>184</v>
      </c>
      <c r="B64" s="136">
        <v>46139</v>
      </c>
      <c r="C64" s="135" t="s">
        <v>172</v>
      </c>
      <c r="D64" s="135" t="s">
        <v>181</v>
      </c>
      <c r="E64" s="135">
        <v>95919</v>
      </c>
      <c r="F64" s="135">
        <v>95874</v>
      </c>
      <c r="G64" s="138">
        <v>75</v>
      </c>
      <c r="H64" s="140">
        <v>80</v>
      </c>
      <c r="I64" s="135"/>
      <c r="J64" s="141"/>
      <c r="K64" s="135">
        <v>15.7</v>
      </c>
      <c r="L64" s="135">
        <v>16</v>
      </c>
      <c r="M64" s="135">
        <v>15.4</v>
      </c>
      <c r="N64" s="135"/>
      <c r="O64" s="135"/>
      <c r="P64" s="135" t="s">
        <v>34</v>
      </c>
      <c r="Q64" s="135">
        <f t="shared" si="1"/>
        <v>16.007719999999999</v>
      </c>
      <c r="R64" s="135">
        <v>3058</v>
      </c>
      <c r="S64" s="135" t="s">
        <v>193</v>
      </c>
      <c r="T64" s="139" t="s">
        <v>194</v>
      </c>
    </row>
    <row r="65" spans="1:20" s="143" customFormat="1" x14ac:dyDescent="0.25">
      <c r="A65" s="135" t="s">
        <v>185</v>
      </c>
      <c r="B65" s="136">
        <v>46181</v>
      </c>
      <c r="C65" s="135" t="s">
        <v>172</v>
      </c>
      <c r="D65" s="135" t="s">
        <v>181</v>
      </c>
      <c r="E65" s="135">
        <v>95919</v>
      </c>
      <c r="F65" s="135">
        <v>95877</v>
      </c>
      <c r="G65" s="138">
        <v>75</v>
      </c>
      <c r="H65" s="140">
        <v>80</v>
      </c>
      <c r="I65" s="135"/>
      <c r="J65" s="141"/>
      <c r="K65" s="137">
        <v>15.7</v>
      </c>
      <c r="L65" s="135">
        <v>16.7</v>
      </c>
      <c r="M65" s="135">
        <v>16.7</v>
      </c>
      <c r="N65" s="135">
        <v>13.6</v>
      </c>
      <c r="O65" s="135"/>
      <c r="P65" s="135" t="s">
        <v>34</v>
      </c>
      <c r="Q65" s="138">
        <f t="shared" si="1"/>
        <v>16.007719999999999</v>
      </c>
      <c r="R65" s="135">
        <v>3058</v>
      </c>
      <c r="S65" s="135" t="s">
        <v>195</v>
      </c>
      <c r="T65" s="139" t="s">
        <v>196</v>
      </c>
    </row>
    <row r="66" spans="1:20" s="143" customFormat="1" x14ac:dyDescent="0.25">
      <c r="A66" s="135" t="s">
        <v>186</v>
      </c>
      <c r="B66" s="136">
        <v>46217</v>
      </c>
      <c r="C66" s="135" t="s">
        <v>172</v>
      </c>
      <c r="D66" s="135" t="s">
        <v>181</v>
      </c>
      <c r="E66" s="135">
        <v>95919</v>
      </c>
      <c r="F66" s="135">
        <v>95879</v>
      </c>
      <c r="G66" s="135">
        <v>75</v>
      </c>
      <c r="H66" s="140">
        <v>80</v>
      </c>
      <c r="I66" s="135"/>
      <c r="J66" s="135"/>
      <c r="K66" s="135">
        <v>15.7</v>
      </c>
      <c r="L66" s="135">
        <v>17.600000000000001</v>
      </c>
      <c r="M66" s="135">
        <v>17.600000000000001</v>
      </c>
      <c r="N66" s="135">
        <v>16.7</v>
      </c>
      <c r="O66" s="135"/>
      <c r="P66" s="135" t="s">
        <v>34</v>
      </c>
      <c r="Q66" s="135">
        <f t="shared" si="1"/>
        <v>16.007719999999999</v>
      </c>
      <c r="R66" s="135">
        <v>3058</v>
      </c>
      <c r="S66" s="135" t="s">
        <v>197</v>
      </c>
      <c r="T66" s="139"/>
    </row>
    <row r="67" spans="1:20" s="143" customFormat="1" ht="30" customHeight="1" x14ac:dyDescent="0.25">
      <c r="A67" s="135" t="s">
        <v>187</v>
      </c>
      <c r="B67" s="136">
        <v>46224</v>
      </c>
      <c r="C67" s="135" t="s">
        <v>172</v>
      </c>
      <c r="D67" s="135" t="s">
        <v>181</v>
      </c>
      <c r="E67" s="135">
        <v>95919</v>
      </c>
      <c r="F67" s="135">
        <v>95875</v>
      </c>
      <c r="G67" s="135">
        <v>75</v>
      </c>
      <c r="H67" s="140">
        <v>80</v>
      </c>
      <c r="I67" s="135"/>
      <c r="J67" s="135" t="s">
        <v>198</v>
      </c>
      <c r="K67" s="135">
        <v>9.8000000000000007</v>
      </c>
      <c r="L67" s="135">
        <v>11.6</v>
      </c>
      <c r="M67" s="135">
        <v>11.6</v>
      </c>
      <c r="N67" s="135">
        <v>10.199999999999999</v>
      </c>
      <c r="O67" s="135"/>
      <c r="P67" s="135" t="s">
        <v>34</v>
      </c>
      <c r="Q67" s="135">
        <f t="shared" si="1"/>
        <v>9.9920800000000014</v>
      </c>
      <c r="R67" s="135">
        <v>3058</v>
      </c>
      <c r="S67" s="135" t="s">
        <v>199</v>
      </c>
      <c r="T67" s="139" t="s">
        <v>200</v>
      </c>
    </row>
    <row r="68" spans="1:20" s="143" customFormat="1" x14ac:dyDescent="0.25">
      <c r="A68" s="135" t="s">
        <v>188</v>
      </c>
      <c r="B68" s="136">
        <v>46231</v>
      </c>
      <c r="C68" s="135" t="s">
        <v>172</v>
      </c>
      <c r="D68" s="143" t="s">
        <v>29</v>
      </c>
      <c r="E68" s="135">
        <v>95919</v>
      </c>
      <c r="F68" s="135">
        <v>95902</v>
      </c>
      <c r="G68" s="135">
        <v>75</v>
      </c>
      <c r="H68" s="140">
        <v>80</v>
      </c>
      <c r="I68" s="135"/>
      <c r="J68" s="135"/>
      <c r="K68" s="135">
        <v>17.7</v>
      </c>
      <c r="L68" s="135">
        <v>20</v>
      </c>
      <c r="M68" s="135">
        <v>18.399999999999999</v>
      </c>
      <c r="N68" s="135">
        <v>17.7</v>
      </c>
      <c r="O68" s="135"/>
      <c r="P68" s="135" t="s">
        <v>34</v>
      </c>
      <c r="Q68" s="135">
        <f t="shared" si="1"/>
        <v>18.04692</v>
      </c>
      <c r="R68" s="135">
        <v>3058</v>
      </c>
      <c r="S68" s="135" t="s">
        <v>201</v>
      </c>
      <c r="T68" s="139" t="s">
        <v>202</v>
      </c>
    </row>
    <row r="69" spans="1:20" s="143" customFormat="1" x14ac:dyDescent="0.25">
      <c r="A69" s="135" t="s">
        <v>189</v>
      </c>
      <c r="B69" s="136">
        <v>46233</v>
      </c>
      <c r="C69" s="135" t="s">
        <v>172</v>
      </c>
      <c r="D69" s="135" t="s">
        <v>29</v>
      </c>
      <c r="E69" s="135">
        <v>95919</v>
      </c>
      <c r="F69" s="135">
        <v>95901</v>
      </c>
      <c r="G69" s="135">
        <v>75</v>
      </c>
      <c r="H69" s="140">
        <v>80</v>
      </c>
      <c r="I69" s="135"/>
      <c r="J69" s="135" t="s">
        <v>108</v>
      </c>
      <c r="K69" s="135">
        <v>17.7</v>
      </c>
      <c r="L69" s="135">
        <v>20</v>
      </c>
      <c r="M69" s="135">
        <v>18.399999999999999</v>
      </c>
      <c r="N69" s="135">
        <v>17.7</v>
      </c>
      <c r="O69" s="135"/>
      <c r="P69" s="135" t="s">
        <v>34</v>
      </c>
      <c r="Q69" s="135">
        <f t="shared" si="1"/>
        <v>18.04692</v>
      </c>
      <c r="R69" s="135">
        <v>3058</v>
      </c>
      <c r="S69" s="135" t="s">
        <v>203</v>
      </c>
      <c r="T69" s="139" t="s">
        <v>204</v>
      </c>
    </row>
    <row r="70" spans="1:20" x14ac:dyDescent="0.25">
      <c r="A70" s="135" t="s">
        <v>190</v>
      </c>
      <c r="B70" s="136">
        <v>46237</v>
      </c>
      <c r="C70" s="135" t="s">
        <v>172</v>
      </c>
      <c r="D70" s="135" t="s">
        <v>29</v>
      </c>
      <c r="E70" s="135">
        <v>95919</v>
      </c>
      <c r="F70" s="135">
        <v>95903</v>
      </c>
      <c r="G70" s="135">
        <v>75</v>
      </c>
      <c r="H70" s="140">
        <v>80</v>
      </c>
      <c r="I70" s="135"/>
      <c r="J70" s="135" t="s">
        <v>108</v>
      </c>
      <c r="K70" s="135">
        <v>17.7</v>
      </c>
      <c r="L70" s="135">
        <v>20</v>
      </c>
      <c r="M70" s="135">
        <v>18</v>
      </c>
      <c r="N70" s="135">
        <v>17.7</v>
      </c>
      <c r="O70" s="135"/>
      <c r="P70" s="135" t="s">
        <v>34</v>
      </c>
      <c r="Q70" s="135">
        <f t="shared" si="1"/>
        <v>18.04692</v>
      </c>
      <c r="R70" s="135">
        <v>3058</v>
      </c>
      <c r="S70" s="135" t="s">
        <v>205</v>
      </c>
      <c r="T70" s="139" t="s">
        <v>204</v>
      </c>
    </row>
    <row r="71" spans="1:20" x14ac:dyDescent="0.25">
      <c r="A71" s="144" t="s">
        <v>191</v>
      </c>
      <c r="B71" s="145">
        <v>46239</v>
      </c>
      <c r="C71" s="144" t="s">
        <v>172</v>
      </c>
      <c r="D71" s="144" t="s">
        <v>29</v>
      </c>
      <c r="E71" s="144">
        <v>95919</v>
      </c>
      <c r="F71" s="144">
        <v>95900</v>
      </c>
      <c r="G71" s="144">
        <v>75</v>
      </c>
      <c r="H71" s="146">
        <v>80</v>
      </c>
      <c r="I71" s="144"/>
      <c r="J71" s="144" t="s">
        <v>108</v>
      </c>
      <c r="K71" s="144">
        <v>13.73</v>
      </c>
      <c r="L71" s="144">
        <v>16</v>
      </c>
      <c r="M71" s="144">
        <v>14</v>
      </c>
      <c r="N71" s="144">
        <v>15</v>
      </c>
      <c r="O71" s="144"/>
      <c r="P71" s="144" t="s">
        <v>34</v>
      </c>
      <c r="Q71" s="144">
        <f t="shared" si="1"/>
        <v>13.999108000000001</v>
      </c>
      <c r="R71" s="144">
        <v>3058</v>
      </c>
      <c r="S71" s="144" t="s">
        <v>206</v>
      </c>
      <c r="T71" s="147" t="s">
        <v>204</v>
      </c>
    </row>
    <row r="72" spans="1:20" s="135" customFormat="1" x14ac:dyDescent="0.25">
      <c r="A72" s="135" t="s">
        <v>188</v>
      </c>
      <c r="C72" s="135" t="s">
        <v>172</v>
      </c>
      <c r="D72" s="135" t="s">
        <v>29</v>
      </c>
      <c r="E72" s="135">
        <v>95919</v>
      </c>
      <c r="G72" s="135">
        <v>75</v>
      </c>
      <c r="H72" s="140">
        <v>80</v>
      </c>
      <c r="K72" s="135">
        <v>17.649999999999999</v>
      </c>
      <c r="Q72" s="135">
        <f t="shared" si="1"/>
        <v>17.995940000000001</v>
      </c>
      <c r="R72" s="135">
        <v>3058</v>
      </c>
      <c r="T72" s="159" t="s">
        <v>207</v>
      </c>
    </row>
    <row r="73" spans="1:20" s="135" customFormat="1" x14ac:dyDescent="0.25">
      <c r="A73" s="135" t="s">
        <v>189</v>
      </c>
      <c r="C73" s="135" t="s">
        <v>172</v>
      </c>
      <c r="D73" s="135" t="s">
        <v>29</v>
      </c>
      <c r="E73" s="135">
        <v>95919</v>
      </c>
      <c r="G73" s="135">
        <v>75</v>
      </c>
      <c r="H73" s="140">
        <v>80</v>
      </c>
      <c r="K73" s="135">
        <v>17.649999999999999</v>
      </c>
      <c r="Q73" s="135">
        <f t="shared" si="1"/>
        <v>17.995940000000001</v>
      </c>
      <c r="R73" s="135">
        <v>3058</v>
      </c>
      <c r="T73" s="160"/>
    </row>
    <row r="74" spans="1:20" s="135" customFormat="1" x14ac:dyDescent="0.25">
      <c r="A74" s="135" t="s">
        <v>190</v>
      </c>
      <c r="C74" s="135" t="s">
        <v>172</v>
      </c>
      <c r="D74" s="135" t="s">
        <v>29</v>
      </c>
      <c r="E74" s="135">
        <v>95919</v>
      </c>
      <c r="G74" s="135">
        <v>75</v>
      </c>
      <c r="H74" s="140">
        <v>80</v>
      </c>
      <c r="K74" s="135">
        <v>17.649999999999999</v>
      </c>
      <c r="Q74" s="135">
        <f t="shared" si="1"/>
        <v>17.995940000000001</v>
      </c>
      <c r="R74" s="135">
        <v>3058</v>
      </c>
      <c r="T74" s="161"/>
    </row>
    <row r="75" spans="1:20" s="135" customFormat="1" x14ac:dyDescent="0.25">
      <c r="A75" s="135" t="s">
        <v>191</v>
      </c>
      <c r="C75" s="135" t="s">
        <v>172</v>
      </c>
      <c r="D75" s="135" t="s">
        <v>29</v>
      </c>
      <c r="E75" s="135">
        <v>95919</v>
      </c>
      <c r="G75" s="135">
        <v>75</v>
      </c>
      <c r="H75" s="140">
        <v>80</v>
      </c>
      <c r="K75" s="135">
        <v>13.73</v>
      </c>
      <c r="Q75" s="135">
        <f t="shared" si="1"/>
        <v>13.999108000000001</v>
      </c>
      <c r="R75" s="135">
        <v>3058</v>
      </c>
      <c r="S75" s="135" t="s">
        <v>206</v>
      </c>
      <c r="T75" s="139"/>
    </row>
    <row r="76" spans="1:20" s="135" customFormat="1" x14ac:dyDescent="0.25">
      <c r="A76" s="135" t="s">
        <v>192</v>
      </c>
      <c r="B76" s="136">
        <v>46247</v>
      </c>
      <c r="C76" s="135" t="s">
        <v>172</v>
      </c>
      <c r="D76" s="135" t="s">
        <v>29</v>
      </c>
      <c r="E76" s="135">
        <v>95919</v>
      </c>
      <c r="F76" s="135">
        <v>95898</v>
      </c>
      <c r="G76" s="135">
        <v>75</v>
      </c>
      <c r="H76" s="140">
        <v>80</v>
      </c>
      <c r="K76" s="135">
        <v>13.73</v>
      </c>
      <c r="L76" s="135">
        <v>17</v>
      </c>
      <c r="M76" s="135">
        <v>15.5</v>
      </c>
      <c r="N76" s="135">
        <v>15</v>
      </c>
      <c r="Q76" s="135">
        <f t="shared" si="1"/>
        <v>13.999108000000001</v>
      </c>
      <c r="R76" s="135">
        <v>3058</v>
      </c>
      <c r="S76" s="135" t="s">
        <v>208</v>
      </c>
      <c r="T76" s="139" t="s">
        <v>209</v>
      </c>
    </row>
    <row r="77" spans="1:20" s="148" customFormat="1" x14ac:dyDescent="0.25">
      <c r="A77" s="148" t="s">
        <v>210</v>
      </c>
      <c r="B77" s="149">
        <v>46252</v>
      </c>
      <c r="C77" s="148" t="s">
        <v>172</v>
      </c>
      <c r="D77" s="148" t="s">
        <v>211</v>
      </c>
      <c r="E77" s="148">
        <v>95919</v>
      </c>
      <c r="F77" s="148">
        <v>97351</v>
      </c>
      <c r="G77" s="148">
        <v>75</v>
      </c>
      <c r="H77" s="150">
        <v>80</v>
      </c>
      <c r="K77" s="148">
        <v>11.8</v>
      </c>
      <c r="M77" s="148" t="s">
        <v>212</v>
      </c>
      <c r="N77" s="148" t="s">
        <v>213</v>
      </c>
      <c r="Q77" s="148">
        <f t="shared" si="1"/>
        <v>12.031280000000001</v>
      </c>
      <c r="R77" s="148">
        <v>2294</v>
      </c>
      <c r="S77" s="148">
        <v>149937</v>
      </c>
      <c r="T77" s="151" t="s">
        <v>214</v>
      </c>
    </row>
    <row r="78" spans="1:20" s="148" customFormat="1" x14ac:dyDescent="0.25">
      <c r="B78" s="149">
        <v>46252</v>
      </c>
      <c r="C78" s="148" t="s">
        <v>172</v>
      </c>
      <c r="D78" s="148" t="s">
        <v>211</v>
      </c>
      <c r="E78" s="148">
        <v>95919</v>
      </c>
      <c r="F78" s="148">
        <v>97351</v>
      </c>
      <c r="G78" s="148">
        <v>75</v>
      </c>
      <c r="H78" s="150">
        <v>80</v>
      </c>
      <c r="K78" s="148">
        <v>11.8</v>
      </c>
      <c r="M78" s="148" t="s">
        <v>215</v>
      </c>
      <c r="N78" s="148" t="s">
        <v>215</v>
      </c>
      <c r="Q78" s="148">
        <f t="shared" si="1"/>
        <v>12.031280000000001</v>
      </c>
      <c r="R78" s="148">
        <v>3058</v>
      </c>
      <c r="S78" s="148" t="s">
        <v>216</v>
      </c>
      <c r="T78" s="151" t="s">
        <v>217</v>
      </c>
    </row>
    <row r="79" spans="1:20" s="148" customFormat="1" x14ac:dyDescent="0.25">
      <c r="B79" s="149">
        <v>46252</v>
      </c>
      <c r="C79" s="148" t="s">
        <v>172</v>
      </c>
      <c r="D79" s="148" t="s">
        <v>211</v>
      </c>
      <c r="E79" s="148">
        <v>95919</v>
      </c>
      <c r="F79" s="148">
        <v>97351</v>
      </c>
      <c r="G79" s="148">
        <v>75</v>
      </c>
      <c r="H79" s="150">
        <v>80</v>
      </c>
      <c r="K79" s="148">
        <v>7.9</v>
      </c>
      <c r="M79" s="148" t="s">
        <v>218</v>
      </c>
      <c r="N79" s="148" t="s">
        <v>219</v>
      </c>
      <c r="Q79" s="148">
        <f t="shared" si="1"/>
        <v>8.0548400000000004</v>
      </c>
      <c r="R79" s="148">
        <v>2294</v>
      </c>
      <c r="T79" s="151" t="s">
        <v>220</v>
      </c>
    </row>
    <row r="80" spans="1:20" s="148" customFormat="1" x14ac:dyDescent="0.25">
      <c r="B80" s="149">
        <v>46252</v>
      </c>
      <c r="C80" s="148" t="s">
        <v>172</v>
      </c>
      <c r="D80" s="148" t="s">
        <v>211</v>
      </c>
      <c r="E80" s="148">
        <v>95919</v>
      </c>
      <c r="F80" s="148">
        <v>97351</v>
      </c>
      <c r="G80" s="148">
        <v>75</v>
      </c>
      <c r="H80" s="150">
        <v>80</v>
      </c>
      <c r="K80" s="148">
        <v>7.8</v>
      </c>
      <c r="M80" s="148" t="s">
        <v>221</v>
      </c>
      <c r="N80" s="148" t="s">
        <v>221</v>
      </c>
      <c r="Q80" s="148">
        <f t="shared" si="1"/>
        <v>7.9528800000000004</v>
      </c>
      <c r="R80" s="148">
        <v>3058</v>
      </c>
      <c r="T80" s="151" t="s">
        <v>222</v>
      </c>
    </row>
    <row r="81" spans="1:21" s="148" customFormat="1" x14ac:dyDescent="0.25">
      <c r="B81" s="149">
        <v>46253</v>
      </c>
      <c r="C81" s="148" t="s">
        <v>172</v>
      </c>
      <c r="D81" s="148" t="s">
        <v>211</v>
      </c>
      <c r="E81" s="148">
        <v>95919</v>
      </c>
      <c r="F81" s="148">
        <v>97351</v>
      </c>
      <c r="G81" s="148">
        <v>75</v>
      </c>
      <c r="H81" s="150">
        <v>80</v>
      </c>
      <c r="K81" s="148">
        <v>15.7</v>
      </c>
      <c r="M81" s="148" t="s">
        <v>223</v>
      </c>
      <c r="N81" s="148" t="s">
        <v>224</v>
      </c>
      <c r="Q81" s="148">
        <f t="shared" si="1"/>
        <v>16.007719999999999</v>
      </c>
      <c r="R81" s="148">
        <v>2294</v>
      </c>
      <c r="S81" s="148">
        <v>1225086</v>
      </c>
      <c r="T81" s="151" t="s">
        <v>225</v>
      </c>
    </row>
    <row r="82" spans="1:21" s="148" customFormat="1" x14ac:dyDescent="0.25">
      <c r="B82" s="149">
        <v>46253</v>
      </c>
      <c r="C82" s="148" t="s">
        <v>172</v>
      </c>
      <c r="D82" s="148" t="s">
        <v>211</v>
      </c>
      <c r="E82" s="148">
        <v>95919</v>
      </c>
      <c r="F82" s="148">
        <v>97351</v>
      </c>
      <c r="G82" s="148">
        <v>75</v>
      </c>
      <c r="H82" s="150">
        <v>80</v>
      </c>
      <c r="K82" s="148">
        <v>15.7</v>
      </c>
      <c r="M82" s="148" t="s">
        <v>226</v>
      </c>
      <c r="N82" s="148" t="s">
        <v>227</v>
      </c>
      <c r="Q82" s="148">
        <f t="shared" si="1"/>
        <v>16.007719999999999</v>
      </c>
      <c r="R82" s="148">
        <v>3058</v>
      </c>
      <c r="S82" s="148">
        <v>1550274</v>
      </c>
      <c r="T82" s="151" t="s">
        <v>228</v>
      </c>
    </row>
    <row r="83" spans="1:21" s="148" customFormat="1" x14ac:dyDescent="0.25">
      <c r="B83" s="149">
        <v>46255</v>
      </c>
      <c r="C83" s="148" t="s">
        <v>172</v>
      </c>
      <c r="D83" s="148" t="s">
        <v>211</v>
      </c>
      <c r="E83" s="148">
        <v>95919</v>
      </c>
      <c r="F83" s="148">
        <v>97351</v>
      </c>
      <c r="G83" s="148">
        <v>75</v>
      </c>
      <c r="H83" s="150">
        <v>80</v>
      </c>
      <c r="R83" s="148">
        <v>3058</v>
      </c>
      <c r="S83" s="148">
        <v>2424628</v>
      </c>
      <c r="T83" s="151" t="s">
        <v>229</v>
      </c>
    </row>
    <row r="84" spans="1:21" s="135" customFormat="1" x14ac:dyDescent="0.25">
      <c r="A84" s="135" t="s">
        <v>230</v>
      </c>
      <c r="B84" s="136">
        <v>46258</v>
      </c>
      <c r="C84" s="135" t="s">
        <v>172</v>
      </c>
      <c r="D84" s="135" t="s">
        <v>29</v>
      </c>
      <c r="E84" s="135">
        <v>95919</v>
      </c>
      <c r="F84" s="135">
        <v>95904</v>
      </c>
      <c r="G84" s="135">
        <v>75</v>
      </c>
      <c r="H84" s="140">
        <v>80</v>
      </c>
      <c r="K84" s="135">
        <v>17.649999999999999</v>
      </c>
      <c r="M84" s="135">
        <v>18.600000000000001</v>
      </c>
      <c r="N84" s="135">
        <v>18.100000000000001</v>
      </c>
      <c r="Q84" s="135">
        <f t="shared" si="1"/>
        <v>17.995940000000001</v>
      </c>
      <c r="R84" s="135">
        <v>3058</v>
      </c>
      <c r="S84" s="135">
        <v>1671472</v>
      </c>
      <c r="T84" s="139" t="s">
        <v>231</v>
      </c>
    </row>
    <row r="85" spans="1:21" s="135" customFormat="1" x14ac:dyDescent="0.25">
      <c r="A85" s="135" t="s">
        <v>232</v>
      </c>
      <c r="B85" s="136">
        <v>46259</v>
      </c>
      <c r="C85" s="135" t="s">
        <v>172</v>
      </c>
      <c r="D85" s="135" t="s">
        <v>29</v>
      </c>
      <c r="E85" s="135">
        <v>95919</v>
      </c>
      <c r="F85" s="135">
        <v>95899</v>
      </c>
      <c r="G85" s="135">
        <v>75</v>
      </c>
      <c r="H85" s="140">
        <v>80</v>
      </c>
      <c r="K85" s="135">
        <v>13.73</v>
      </c>
      <c r="L85" s="135">
        <v>15.8</v>
      </c>
      <c r="M85" s="135">
        <v>13.4</v>
      </c>
      <c r="N85" s="135">
        <v>13.1</v>
      </c>
      <c r="Q85" s="135">
        <f t="shared" si="1"/>
        <v>13.999108000000001</v>
      </c>
      <c r="R85" s="135">
        <v>3058</v>
      </c>
      <c r="S85" s="135">
        <v>27610155</v>
      </c>
      <c r="T85" s="139" t="s">
        <v>233</v>
      </c>
    </row>
    <row r="86" spans="1:21" s="148" customFormat="1" ht="31.5" x14ac:dyDescent="0.25">
      <c r="A86" s="148" t="s">
        <v>234</v>
      </c>
      <c r="B86" s="149">
        <v>46252</v>
      </c>
      <c r="C86" s="148" t="s">
        <v>172</v>
      </c>
      <c r="D86" s="148" t="s">
        <v>211</v>
      </c>
      <c r="E86" s="148">
        <v>95919</v>
      </c>
      <c r="F86" s="148">
        <v>97350</v>
      </c>
      <c r="G86" s="148">
        <v>74</v>
      </c>
      <c r="H86" s="150">
        <v>80</v>
      </c>
      <c r="K86" s="148">
        <v>11.8</v>
      </c>
      <c r="M86" s="148" t="s">
        <v>235</v>
      </c>
      <c r="N86" s="148" t="s">
        <v>236</v>
      </c>
      <c r="Q86" s="148">
        <f t="shared" ref="Q86" si="2">K86*1.0196</f>
        <v>12.031280000000001</v>
      </c>
      <c r="R86" s="148">
        <v>3058</v>
      </c>
      <c r="S86" s="148">
        <v>6213262</v>
      </c>
      <c r="T86" s="152" t="s">
        <v>237</v>
      </c>
    </row>
    <row r="87" spans="1:21" s="143" customFormat="1" x14ac:dyDescent="0.25">
      <c r="A87" s="153" t="s">
        <v>238</v>
      </c>
      <c r="B87" s="154">
        <v>46269</v>
      </c>
      <c r="C87" s="135" t="s">
        <v>172</v>
      </c>
      <c r="D87" s="153" t="s">
        <v>22</v>
      </c>
      <c r="E87" s="135">
        <v>95919</v>
      </c>
      <c r="F87" s="153">
        <v>95878</v>
      </c>
      <c r="G87" s="153">
        <v>75</v>
      </c>
      <c r="H87" s="140">
        <v>80</v>
      </c>
      <c r="I87" s="135"/>
      <c r="J87" s="135"/>
      <c r="K87" s="153">
        <v>9.8000000000000007</v>
      </c>
      <c r="L87" s="135">
        <v>13</v>
      </c>
      <c r="M87" s="153">
        <v>10.1</v>
      </c>
      <c r="N87" s="153" t="s">
        <v>216</v>
      </c>
      <c r="O87" s="153"/>
      <c r="P87" s="153"/>
      <c r="Q87" s="153"/>
      <c r="R87" s="135">
        <v>3058</v>
      </c>
      <c r="S87" s="153" t="s">
        <v>239</v>
      </c>
      <c r="T87" s="155" t="s">
        <v>216</v>
      </c>
    </row>
    <row r="88" spans="1:21" s="148" customFormat="1" ht="47.25" x14ac:dyDescent="0.25">
      <c r="A88" s="148" t="s">
        <v>240</v>
      </c>
      <c r="B88" s="149">
        <v>46272</v>
      </c>
      <c r="C88" s="148" t="s">
        <v>172</v>
      </c>
      <c r="D88" s="148" t="s">
        <v>211</v>
      </c>
      <c r="E88" s="148">
        <v>95919</v>
      </c>
      <c r="F88" s="148">
        <v>97365</v>
      </c>
      <c r="G88" s="148">
        <v>74</v>
      </c>
      <c r="H88" s="150">
        <v>80</v>
      </c>
      <c r="J88" s="148" t="s">
        <v>241</v>
      </c>
      <c r="K88" s="148">
        <v>11.8</v>
      </c>
      <c r="L88" s="148">
        <v>13.9</v>
      </c>
      <c r="M88" s="148" t="s">
        <v>242</v>
      </c>
      <c r="N88" s="148" t="s">
        <v>243</v>
      </c>
      <c r="Q88" s="148">
        <f t="shared" ref="Q88:Q92" si="3">K88*(52/51)</f>
        <v>12.031372549019608</v>
      </c>
      <c r="R88" s="148">
        <v>3058</v>
      </c>
      <c r="S88" s="148">
        <v>3776250</v>
      </c>
      <c r="T88" s="152" t="s">
        <v>244</v>
      </c>
    </row>
    <row r="89" spans="1:21" s="148" customFormat="1" ht="236.25" x14ac:dyDescent="0.25">
      <c r="A89" s="148" t="s">
        <v>245</v>
      </c>
      <c r="B89" s="149">
        <v>46279</v>
      </c>
      <c r="C89" s="148" t="s">
        <v>172</v>
      </c>
      <c r="D89" s="148" t="s">
        <v>211</v>
      </c>
      <c r="E89" s="148">
        <v>95919</v>
      </c>
      <c r="F89" s="148">
        <v>97345</v>
      </c>
      <c r="G89" s="148">
        <v>74</v>
      </c>
      <c r="H89" s="150">
        <v>80</v>
      </c>
      <c r="J89" s="148" t="s">
        <v>246</v>
      </c>
      <c r="K89" s="148">
        <v>7.9</v>
      </c>
      <c r="L89" s="148">
        <v>11.1</v>
      </c>
      <c r="M89" s="148" t="s">
        <v>247</v>
      </c>
      <c r="N89" s="156" t="s">
        <v>248</v>
      </c>
      <c r="Q89" s="148">
        <f t="shared" si="3"/>
        <v>8.0549019607843135</v>
      </c>
      <c r="R89" s="148">
        <v>3058</v>
      </c>
      <c r="S89" s="148">
        <v>24956000</v>
      </c>
      <c r="T89" s="152" t="s">
        <v>249</v>
      </c>
      <c r="U89" s="148" t="s">
        <v>250</v>
      </c>
    </row>
    <row r="90" spans="1:21" s="148" customFormat="1" ht="63" x14ac:dyDescent="0.25">
      <c r="A90" s="148" t="s">
        <v>251</v>
      </c>
      <c r="B90" s="149">
        <v>46286</v>
      </c>
      <c r="C90" s="148" t="s">
        <v>172</v>
      </c>
      <c r="D90" s="148" t="s">
        <v>211</v>
      </c>
      <c r="E90" s="148">
        <v>95919</v>
      </c>
      <c r="F90" s="148">
        <v>97346</v>
      </c>
      <c r="G90" s="148">
        <v>67</v>
      </c>
      <c r="H90" s="150">
        <v>80</v>
      </c>
      <c r="J90" s="156" t="s">
        <v>252</v>
      </c>
      <c r="K90" s="148">
        <v>15.7</v>
      </c>
      <c r="L90" s="148">
        <v>17</v>
      </c>
      <c r="M90" s="148">
        <v>15.5</v>
      </c>
      <c r="N90" s="148">
        <v>14.9</v>
      </c>
      <c r="Q90" s="148">
        <f t="shared" si="3"/>
        <v>16.007843137254898</v>
      </c>
      <c r="R90" s="148">
        <v>3058</v>
      </c>
      <c r="S90" s="148">
        <v>1512000</v>
      </c>
      <c r="T90" s="152" t="s">
        <v>253</v>
      </c>
      <c r="U90" s="148" t="s">
        <v>250</v>
      </c>
    </row>
    <row r="91" spans="1:21" s="148" customFormat="1" ht="236.25" x14ac:dyDescent="0.25">
      <c r="A91" s="148" t="s">
        <v>254</v>
      </c>
      <c r="B91" s="149">
        <v>46287</v>
      </c>
      <c r="C91" s="148" t="s">
        <v>172</v>
      </c>
      <c r="D91" s="148" t="s">
        <v>211</v>
      </c>
      <c r="E91" s="148">
        <v>95919</v>
      </c>
      <c r="F91" s="148">
        <v>97366</v>
      </c>
      <c r="G91" s="148">
        <v>67</v>
      </c>
      <c r="H91" s="150">
        <v>80</v>
      </c>
      <c r="J91" s="156" t="s">
        <v>255</v>
      </c>
      <c r="K91" s="148">
        <v>15.7</v>
      </c>
      <c r="L91" s="148">
        <v>17.2</v>
      </c>
      <c r="M91" s="148" t="s">
        <v>256</v>
      </c>
      <c r="N91" s="148">
        <v>15.5</v>
      </c>
      <c r="Q91" s="148">
        <f t="shared" si="3"/>
        <v>16.007843137254898</v>
      </c>
      <c r="R91" s="148">
        <v>3058</v>
      </c>
      <c r="S91" s="148">
        <v>1210000</v>
      </c>
      <c r="T91" s="152" t="s">
        <v>275</v>
      </c>
      <c r="U91" s="148" t="s">
        <v>250</v>
      </c>
    </row>
    <row r="92" spans="1:21" s="148" customFormat="1" ht="157.5" x14ac:dyDescent="0.25">
      <c r="A92" s="148" t="s">
        <v>257</v>
      </c>
      <c r="B92" s="149">
        <v>46288</v>
      </c>
      <c r="C92" s="148" t="s">
        <v>172</v>
      </c>
      <c r="D92" s="148" t="s">
        <v>211</v>
      </c>
      <c r="E92" s="148">
        <v>95919</v>
      </c>
      <c r="F92" s="148">
        <v>97355</v>
      </c>
      <c r="G92" s="148">
        <v>67</v>
      </c>
      <c r="H92" s="150">
        <v>80</v>
      </c>
      <c r="J92" s="156" t="s">
        <v>258</v>
      </c>
      <c r="K92" s="148">
        <v>15.7</v>
      </c>
      <c r="L92" s="148">
        <v>16.5</v>
      </c>
      <c r="M92" s="156" t="s">
        <v>259</v>
      </c>
      <c r="N92" s="148" t="s">
        <v>260</v>
      </c>
      <c r="Q92" s="148">
        <f t="shared" si="3"/>
        <v>16.007843137254898</v>
      </c>
      <c r="R92" s="148">
        <v>3058</v>
      </c>
      <c r="S92" s="148">
        <v>1366000</v>
      </c>
      <c r="T92" s="152" t="s">
        <v>276</v>
      </c>
      <c r="U92" s="148" t="s">
        <v>261</v>
      </c>
    </row>
    <row r="93" spans="1:21" s="148" customFormat="1" ht="141.75" x14ac:dyDescent="0.25">
      <c r="A93" s="148" t="s">
        <v>262</v>
      </c>
      <c r="B93" s="149">
        <v>46289</v>
      </c>
      <c r="C93" s="148" t="s">
        <v>172</v>
      </c>
      <c r="D93" s="148" t="s">
        <v>211</v>
      </c>
      <c r="E93" s="148">
        <v>95919</v>
      </c>
      <c r="F93" s="148">
        <v>97340</v>
      </c>
      <c r="G93" s="148">
        <v>67</v>
      </c>
      <c r="H93" s="150">
        <v>80</v>
      </c>
      <c r="J93" s="156" t="s">
        <v>263</v>
      </c>
      <c r="K93" s="148">
        <v>15.7</v>
      </c>
      <c r="L93" s="148">
        <v>17.600000000000001</v>
      </c>
      <c r="M93" s="156" t="s">
        <v>264</v>
      </c>
      <c r="N93" s="148" t="s">
        <v>265</v>
      </c>
      <c r="Q93" s="148">
        <f>K93*(52/51)</f>
        <v>16.007843137254898</v>
      </c>
      <c r="R93" s="148">
        <v>3058</v>
      </c>
      <c r="S93" s="148">
        <v>1920000</v>
      </c>
      <c r="T93" s="152" t="s">
        <v>266</v>
      </c>
    </row>
    <row r="94" spans="1:21" s="148" customFormat="1" ht="252" x14ac:dyDescent="0.25">
      <c r="A94" s="148" t="s">
        <v>267</v>
      </c>
      <c r="B94" s="149">
        <v>46290</v>
      </c>
      <c r="C94" s="148" t="s">
        <v>172</v>
      </c>
      <c r="D94" s="148" t="s">
        <v>211</v>
      </c>
      <c r="E94" s="148">
        <v>95919</v>
      </c>
      <c r="F94" s="148">
        <v>97360</v>
      </c>
      <c r="G94" s="148">
        <v>74</v>
      </c>
      <c r="H94" s="150">
        <v>80</v>
      </c>
      <c r="J94" s="156" t="s">
        <v>241</v>
      </c>
      <c r="K94" s="148">
        <v>11.8</v>
      </c>
      <c r="L94" s="148">
        <v>14.9</v>
      </c>
      <c r="M94" s="156" t="s">
        <v>243</v>
      </c>
      <c r="N94" s="148" t="s">
        <v>268</v>
      </c>
      <c r="Q94" s="148">
        <f>K94*(52/51)</f>
        <v>12.031372549019608</v>
      </c>
      <c r="R94" s="148">
        <v>3058</v>
      </c>
      <c r="S94" s="148">
        <v>4570000</v>
      </c>
      <c r="T94" s="152" t="s">
        <v>269</v>
      </c>
      <c r="U94" s="156" t="s">
        <v>270</v>
      </c>
    </row>
    <row r="95" spans="1:21" s="148" customFormat="1" ht="283.5" x14ac:dyDescent="0.25">
      <c r="A95" s="148" t="s">
        <v>271</v>
      </c>
      <c r="B95" s="149">
        <v>46293</v>
      </c>
      <c r="C95" s="148" t="s">
        <v>172</v>
      </c>
      <c r="D95" s="148" t="s">
        <v>211</v>
      </c>
      <c r="E95" s="148">
        <v>95919</v>
      </c>
      <c r="F95" s="148">
        <v>97364</v>
      </c>
      <c r="G95" s="148">
        <v>75</v>
      </c>
      <c r="H95" s="150">
        <v>80</v>
      </c>
      <c r="J95" s="156"/>
      <c r="K95" s="148">
        <v>7.8</v>
      </c>
      <c r="L95" s="148">
        <v>11.1</v>
      </c>
      <c r="M95" s="156" t="s">
        <v>272</v>
      </c>
      <c r="N95" s="148" t="s">
        <v>273</v>
      </c>
      <c r="Q95" s="148">
        <f>K95*(52/51)</f>
        <v>7.9529411764705875</v>
      </c>
      <c r="R95" s="148">
        <v>3058</v>
      </c>
      <c r="S95" s="148">
        <v>40000000</v>
      </c>
      <c r="T95" s="152" t="s">
        <v>274</v>
      </c>
      <c r="U95" s="156"/>
    </row>
    <row r="96" spans="1:21" s="148" customFormat="1" ht="63" x14ac:dyDescent="0.25">
      <c r="A96" s="148" t="s">
        <v>278</v>
      </c>
      <c r="B96" s="149"/>
      <c r="C96" s="148" t="s">
        <v>172</v>
      </c>
      <c r="D96" s="148" t="s">
        <v>211</v>
      </c>
      <c r="E96" s="148">
        <v>95919</v>
      </c>
      <c r="F96" s="148">
        <v>97361</v>
      </c>
      <c r="G96" s="148">
        <v>75</v>
      </c>
      <c r="H96" s="150">
        <v>80</v>
      </c>
      <c r="J96" s="156"/>
      <c r="K96" s="148">
        <v>7.8</v>
      </c>
      <c r="M96" s="156"/>
      <c r="Q96" s="148">
        <f>K96*(52/51)</f>
        <v>7.9529411764705875</v>
      </c>
      <c r="R96" s="148">
        <v>3058</v>
      </c>
      <c r="T96" s="152" t="s">
        <v>279</v>
      </c>
      <c r="U96" s="156"/>
    </row>
    <row r="97" spans="20:20" x14ac:dyDescent="0.25">
      <c r="T97" s="158" t="s">
        <v>108</v>
      </c>
    </row>
    <row r="103" spans="20:20" x14ac:dyDescent="0.25">
      <c r="T103" s="158" t="s">
        <v>216</v>
      </c>
    </row>
  </sheetData>
  <mergeCells count="1">
    <mergeCell ref="T72:T74"/>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Kuhn</dc:creator>
  <cp:lastModifiedBy>Tim Kuhn</cp:lastModifiedBy>
  <dcterms:created xsi:type="dcterms:W3CDTF">2026-10-10T11:20:56Z</dcterms:created>
  <dcterms:modified xsi:type="dcterms:W3CDTF">2026-10-19T15:01:30Z</dcterms:modified>
</cp:coreProperties>
</file>